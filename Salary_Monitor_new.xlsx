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2396076\Downloads\Navin\"/>
    </mc:Choice>
  </mc:AlternateContent>
  <xr:revisionPtr revIDLastSave="0" documentId="13_ncr:1_{F568FD2D-28F4-4931-A242-247509FD1465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Payslip" sheetId="1" r:id="rId1"/>
    <sheet name="Hike" sheetId="2" r:id="rId2"/>
    <sheet name="Investments" sheetId="3" r:id="rId3"/>
    <sheet name="PLI" sheetId="4" r:id="rId4"/>
  </sheets>
  <definedNames>
    <definedName name="_xlnm._FilterDatabase" localSheetId="0" hidden="1">Payslip!$A$1:$D$19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40494865" val="1068" rev="124" revOS="4" revMin="124" revMax="0"/>
      <pm:docPrefs xmlns:pm="smNativeData" id="1740494865" fixedDigits="0" showNotice="1" showFrameBounds="1" autoChart="1" recalcOnPrint="1" recalcOnCopy="1" finalRounding="1" compatTextArt="1" tab="567" useDefinedPrintRange="1" printArea="currentSheet"/>
      <pm:compatibility xmlns:pm="smNativeData" id="1740494865" overlapCells="1"/>
      <pm:defCurrency xmlns:pm="smNativeData" id="1740494865"/>
    </ext>
  </extLst>
</workbook>
</file>

<file path=xl/calcChain.xml><?xml version="1.0" encoding="utf-8"?>
<calcChain xmlns="http://schemas.openxmlformats.org/spreadsheetml/2006/main">
  <c r="Q51" i="1" l="1"/>
  <c r="C74" i="1"/>
  <c r="C77" i="1" s="1"/>
  <c r="C67" i="1"/>
  <c r="B62" i="1"/>
  <c r="D62" i="1"/>
  <c r="D63" i="1"/>
  <c r="D64" i="1"/>
  <c r="D65" i="1"/>
  <c r="D66" i="1"/>
  <c r="D67" i="1"/>
  <c r="E8" i="2" s="1"/>
  <c r="D68" i="1"/>
  <c r="E9" i="2" s="1"/>
  <c r="D69" i="1"/>
  <c r="E10" i="2" s="1"/>
  <c r="D70" i="1"/>
  <c r="E11" i="2" s="1"/>
  <c r="D71" i="1"/>
  <c r="E12" i="2" s="1"/>
  <c r="D72" i="1"/>
  <c r="E13" i="2" s="1"/>
  <c r="D73" i="1"/>
  <c r="E14" i="2" s="1"/>
  <c r="P38" i="1"/>
  <c r="Q38" i="1"/>
  <c r="Q39" i="1"/>
  <c r="Q40" i="1"/>
  <c r="Q41" i="1"/>
  <c r="Q42" i="1"/>
  <c r="Q43" i="1"/>
  <c r="Q44" i="1"/>
  <c r="Q45" i="1"/>
  <c r="Q46" i="1"/>
  <c r="Q47" i="1"/>
  <c r="Q48" i="1"/>
  <c r="Q49" i="1"/>
  <c r="D16" i="2"/>
  <c r="D38" i="1"/>
  <c r="D39" i="1"/>
  <c r="D40" i="1"/>
  <c r="D41" i="1"/>
  <c r="D42" i="1"/>
  <c r="D43" i="1"/>
  <c r="D44" i="1"/>
  <c r="D45" i="1"/>
  <c r="D46" i="1"/>
  <c r="D47" i="1"/>
  <c r="D48" i="1"/>
  <c r="D49" i="1"/>
  <c r="D51" i="1"/>
  <c r="C16" i="2"/>
  <c r="Q2" i="1"/>
  <c r="Q3" i="1"/>
  <c r="Q4" i="1"/>
  <c r="Q5" i="1"/>
  <c r="Q6" i="1"/>
  <c r="Q7" i="1"/>
  <c r="Q8" i="1"/>
  <c r="Q9" i="1"/>
  <c r="Q10" i="1"/>
  <c r="Q11" i="1"/>
  <c r="Q12" i="1"/>
  <c r="Q13" i="1"/>
  <c r="Q15" i="1"/>
  <c r="B16" i="2"/>
  <c r="D2" i="1"/>
  <c r="D3" i="1"/>
  <c r="D4" i="1"/>
  <c r="D5" i="1"/>
  <c r="D6" i="1"/>
  <c r="D7" i="1"/>
  <c r="D8" i="1"/>
  <c r="D9" i="1"/>
  <c r="D10" i="1"/>
  <c r="D11" i="1"/>
  <c r="D12" i="1"/>
  <c r="D13" i="1"/>
  <c r="D15" i="1"/>
  <c r="A16" i="2"/>
  <c r="Q50" i="1"/>
  <c r="D15" i="2"/>
  <c r="D50" i="1"/>
  <c r="C15" i="2"/>
  <c r="Q14" i="1"/>
  <c r="B15" i="2"/>
  <c r="D14" i="1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E6" i="2"/>
  <c r="D6" i="2"/>
  <c r="C6" i="2"/>
  <c r="B6" i="2"/>
  <c r="A6" i="2"/>
  <c r="D5" i="2"/>
  <c r="C5" i="2"/>
  <c r="B5" i="2"/>
  <c r="A5" i="2"/>
  <c r="E4" i="2"/>
  <c r="D4" i="2"/>
  <c r="C4" i="2"/>
  <c r="B4" i="2"/>
  <c r="A4" i="2"/>
  <c r="E3" i="2"/>
  <c r="D3" i="2"/>
  <c r="C3" i="2"/>
  <c r="B3" i="2"/>
  <c r="A3" i="2"/>
  <c r="B74" i="1"/>
  <c r="P50" i="1"/>
  <c r="O50" i="1"/>
  <c r="C50" i="1"/>
  <c r="B50" i="1"/>
  <c r="P14" i="1"/>
  <c r="O14" i="1"/>
  <c r="C14" i="1"/>
  <c r="B14" i="1"/>
  <c r="D75" i="1" l="1"/>
  <c r="E16" i="2" s="1"/>
  <c r="E7" i="2"/>
  <c r="D74" i="1"/>
  <c r="E15" i="2" s="1"/>
  <c r="E5" i="2"/>
</calcChain>
</file>

<file path=xl/sharedStrings.xml><?xml version="1.0" encoding="utf-8"?>
<sst xmlns="http://schemas.openxmlformats.org/spreadsheetml/2006/main" count="182" uniqueCount="84">
  <si>
    <t>MONTHS</t>
  </si>
  <si>
    <t>C-B</t>
  </si>
  <si>
    <t>O-N</t>
  </si>
  <si>
    <t>JAN(QVA)</t>
  </si>
  <si>
    <t>FEB</t>
  </si>
  <si>
    <t>MAR</t>
  </si>
  <si>
    <t>APR(QVA)</t>
  </si>
  <si>
    <t>MAY</t>
  </si>
  <si>
    <t>JUN</t>
  </si>
  <si>
    <t>JUL(QVA)</t>
  </si>
  <si>
    <t>AUG</t>
  </si>
  <si>
    <t>SEP</t>
  </si>
  <si>
    <t>OCT(QVA)</t>
  </si>
  <si>
    <t>NOV</t>
  </si>
  <si>
    <t>DEC</t>
  </si>
  <si>
    <t>Total Take Home</t>
  </si>
  <si>
    <t>CTC</t>
  </si>
  <si>
    <t>336000 LPA</t>
  </si>
  <si>
    <t>366000 LPA</t>
  </si>
  <si>
    <t>&lt;-Avg Increment</t>
  </si>
  <si>
    <t>426000LPA</t>
  </si>
  <si>
    <t>395000 LPA</t>
  </si>
  <si>
    <t>450000 LPA</t>
  </si>
  <si>
    <t>Deduction</t>
  </si>
  <si>
    <t>24k on Avg/month</t>
  </si>
  <si>
    <t>27.2k on Avg/month</t>
  </si>
  <si>
    <t>31.6k on Avg/month</t>
  </si>
  <si>
    <t>QVA= ~4500</t>
  </si>
  <si>
    <t>Final Anniversary</t>
  </si>
  <si>
    <t>Band</t>
  </si>
  <si>
    <t>Min LPA= No. Of years Experience*1.5+1</t>
  </si>
  <si>
    <t>Max LPA= No. Of years Experience*3+1</t>
  </si>
  <si>
    <t>Prof. Tax</t>
  </si>
  <si>
    <t>FFS from TCS= 46.5k</t>
  </si>
  <si>
    <t>APR</t>
  </si>
  <si>
    <t>Health Insurance</t>
  </si>
  <si>
    <t>JUL</t>
  </si>
  <si>
    <t>OCT</t>
  </si>
  <si>
    <t>480000 LPA</t>
  </si>
  <si>
    <t>33.7k on Avg/month</t>
  </si>
  <si>
    <t>51.7k on Avg/month</t>
  </si>
  <si>
    <t>Joining Bonus 50K</t>
  </si>
  <si>
    <t>Year=20-21</t>
  </si>
  <si>
    <t>Year=21-22</t>
  </si>
  <si>
    <t>Year=22-23</t>
  </si>
  <si>
    <t>Year=23-24</t>
  </si>
  <si>
    <t>Year=24-25</t>
  </si>
  <si>
    <t>Maveric Final Settlement</t>
  </si>
  <si>
    <t>JAN</t>
  </si>
  <si>
    <t>TDS Refund</t>
  </si>
  <si>
    <t>Prof.  Tax(1250)</t>
  </si>
  <si>
    <t>TDS claimed(FY25)</t>
  </si>
  <si>
    <t>80.5k on Avg/month</t>
  </si>
  <si>
    <t>PPF</t>
  </si>
  <si>
    <t>SBI Savings(FD)</t>
  </si>
  <si>
    <t>Tenure</t>
  </si>
  <si>
    <t>Every month</t>
  </si>
  <si>
    <t>15years</t>
  </si>
  <si>
    <t>Amount</t>
  </si>
  <si>
    <t>Investments</t>
  </si>
  <si>
    <t>Interest</t>
  </si>
  <si>
    <t>Post Office (RD)</t>
  </si>
  <si>
    <t>SBI RD</t>
  </si>
  <si>
    <t>5 years</t>
  </si>
  <si>
    <t>Every Year</t>
  </si>
  <si>
    <t>Insurance SBI (upto 2L)</t>
  </si>
  <si>
    <t>NA</t>
  </si>
  <si>
    <t>DOJ(MM/DD/YYYY)</t>
  </si>
  <si>
    <t>Maturity(MM/DD/YYYY)</t>
  </si>
  <si>
    <t>Gold Scheme</t>
  </si>
  <si>
    <t xml:space="preserve">PLI Endowment(10L) </t>
  </si>
  <si>
    <t>Notes</t>
  </si>
  <si>
    <t>18years (Maturity Age -45)</t>
  </si>
  <si>
    <t>936000 (Total Bonus)</t>
  </si>
  <si>
    <t>27- Age at the time of starting . Maturity 1936000</t>
  </si>
  <si>
    <t>2 years</t>
  </si>
  <si>
    <t>Invest - 1.2L , Interest - 8.3k - Maturity - 128358</t>
  </si>
  <si>
    <t>Invest - 4.2L , Interest - 79.5k - Maturity - 499564</t>
  </si>
  <si>
    <t>SIP</t>
  </si>
  <si>
    <t>Approx: Monthly Deposit</t>
  </si>
  <si>
    <t>42k</t>
  </si>
  <si>
    <t>(Investment)</t>
  </si>
  <si>
    <r>
      <rPr>
        <b/>
        <sz val="11"/>
        <color rgb="FF000000"/>
        <rFont val="Calibri"/>
        <family val="2"/>
      </rPr>
      <t>PLI Endowment Assurance (Santosh) Overview</t>
    </r>
    <r>
      <rPr>
        <sz val="11"/>
        <color rgb="FF000000"/>
        <rFont val="Calibri"/>
        <family val="2"/>
      </rPr>
      <t xml:space="preserve">
*   Type: Life insurance + savings.
*   Sum Assured: ₹10,00,000.
*   Entry Age: 27 years.
*   Maturity Age: 45 years → Policy Term = 18 years.
*   Premium: ₹4,500 (likely monthly as per your input).
*   Bonus Rate: ₹52 per ₹1,000 sum assured per year (current declared rate for FY 2025-26). 
*   Terminal Bonus: ₹20 per ₹10,000 sum assured (max ₹1,000) for policies ≥20 years.  
    Since your term is 18 years, terminal bonus does NOT apply. 
</t>
    </r>
    <r>
      <rPr>
        <b/>
        <sz val="11"/>
        <color rgb="FF000000"/>
        <rFont val="Calibri"/>
        <family val="2"/>
      </rPr>
      <t>Bonus Calculation</t>
    </r>
    <r>
      <rPr>
        <sz val="11"/>
        <color rgb="FF000000"/>
        <rFont val="Calibri"/>
        <family val="2"/>
      </rPr>
      <t xml:space="preserve">
Formula:
  {Bonus} =   {Sum Assured} * { {Bonus Rate}/{1000} }*   {Policy Term}
  {Bonus} = 10,00,000 * {{52}/{1000}} * 18 = ₹9,36,000
</t>
    </r>
    <r>
      <rPr>
        <b/>
        <sz val="11"/>
        <color rgb="FF000000"/>
        <rFont val="Calibri"/>
        <family val="2"/>
      </rPr>
      <t>Maturity Amount</t>
    </r>
    <r>
      <rPr>
        <sz val="11"/>
        <color rgb="FF000000"/>
        <rFont val="Calibri"/>
        <family val="2"/>
      </rPr>
      <t xml:space="preserve">
  {Maturity Value} =   {Sum Assured} +   {Total Bonus}
  {Maturity Value} = ₹10,00,000 + ₹9,36,000 = ₹19,36,000
</t>
    </r>
  </si>
  <si>
    <r>
      <rPr>
        <b/>
        <sz val="11"/>
        <color rgb="FF000000"/>
        <rFont val="Calibri"/>
        <family val="2"/>
      </rPr>
      <t>Total Premium Paid</t>
    </r>
    <r>
      <rPr>
        <sz val="11"/>
        <color rgb="FF000000"/>
        <rFont val="Calibri"/>
        <family val="2"/>
      </rPr>
      <t xml:space="preserve">
If ₹4,500 is monthly:
  {Total Premium} = ₹4,500 * 12 * 18 = ₹9,72,000
</t>
    </r>
    <r>
      <rPr>
        <b/>
        <sz val="11"/>
        <color rgb="FF000000"/>
        <rFont val="Calibri"/>
        <family val="2"/>
      </rPr>
      <t>Effective Returns</t>
    </r>
    <r>
      <rPr>
        <sz val="11"/>
        <color rgb="FF000000"/>
        <rFont val="Calibri"/>
        <family val="2"/>
      </rPr>
      <t xml:space="preserve">
{Net Gain} = ₹19,36,000 - ₹9,72,000 = ₹9,64,000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</si>
</sst>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0AD46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0AD46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8" borderId="12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center" vertical="center" wrapText="1"/>
    </xf>
    <xf numFmtId="1" fontId="0" fillId="6" borderId="7" xfId="0" applyNumberFormat="1" applyFill="1" applyBorder="1" applyAlignment="1">
      <alignment horizontal="center" vertical="center"/>
    </xf>
    <xf numFmtId="1" fontId="0" fillId="6" borderId="7" xfId="0" applyNumberForma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/>
    </xf>
    <xf numFmtId="0" fontId="1" fillId="0" borderId="8" xfId="0" applyFont="1" applyBorder="1"/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2" fillId="9" borderId="14" xfId="0" applyFont="1" applyFill="1" applyBorder="1"/>
    <xf numFmtId="0" fontId="2" fillId="9" borderId="15" xfId="0" applyFont="1" applyFill="1" applyBorder="1"/>
    <xf numFmtId="0" fontId="2" fillId="9" borderId="16" xfId="0" applyFont="1" applyFill="1" applyBorder="1"/>
    <xf numFmtId="0" fontId="2" fillId="0" borderId="17" xfId="0" applyFont="1" applyBorder="1"/>
    <xf numFmtId="0" fontId="0" fillId="0" borderId="18" xfId="0" applyBorder="1" applyAlignment="1">
      <alignment horizontal="center"/>
    </xf>
    <xf numFmtId="0" fontId="2" fillId="0" borderId="19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40494865" count="1">
        <pm:charStyle name="Normal" fontId="0" Id="1"/>
      </pm:charStyles>
      <pm:colors xmlns:pm="smNativeData" id="1740494865" count="1">
        <pm:color name="Color 24" rgb="70AD46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Payslip!$B$1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Payslip!$A$2:$A$13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Payslip!$B$2:$B$13</c:f>
              <c:numCache>
                <c:formatCode>General</c:formatCode>
                <c:ptCount val="12"/>
                <c:pt idx="0">
                  <c:v>17909</c:v>
                </c:pt>
                <c:pt idx="1">
                  <c:v>24142</c:v>
                </c:pt>
                <c:pt idx="2">
                  <c:v>23804</c:v>
                </c:pt>
                <c:pt idx="3">
                  <c:v>25983</c:v>
                </c:pt>
                <c:pt idx="4">
                  <c:v>23206</c:v>
                </c:pt>
                <c:pt idx="5">
                  <c:v>23206</c:v>
                </c:pt>
                <c:pt idx="6">
                  <c:v>26894</c:v>
                </c:pt>
                <c:pt idx="7">
                  <c:v>23436</c:v>
                </c:pt>
                <c:pt idx="8">
                  <c:v>24686</c:v>
                </c:pt>
                <c:pt idx="9">
                  <c:v>26486</c:v>
                </c:pt>
                <c:pt idx="10">
                  <c:v>24686</c:v>
                </c:pt>
                <c:pt idx="11">
                  <c:v>24676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5D1C-E745-B1DF-96B12E13CD26}"/>
            </c:ext>
          </c:extLst>
        </c:ser>
        <c:ser>
          <c:idx val="1"/>
          <c:order val="1"/>
          <c:tx>
            <c:strRef>
              <c:f>Payslip!$C$1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Payslip!$A$2:$A$13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Payslip!$C$2:$C$13</c:f>
              <c:numCache>
                <c:formatCode>General</c:formatCode>
                <c:ptCount val="12"/>
                <c:pt idx="0">
                  <c:v>25792</c:v>
                </c:pt>
                <c:pt idx="1">
                  <c:v>25243</c:v>
                </c:pt>
                <c:pt idx="2">
                  <c:v>25243</c:v>
                </c:pt>
                <c:pt idx="3">
                  <c:v>28197</c:v>
                </c:pt>
                <c:pt idx="4">
                  <c:v>25243</c:v>
                </c:pt>
                <c:pt idx="5">
                  <c:v>29311</c:v>
                </c:pt>
                <c:pt idx="6">
                  <c:v>30828</c:v>
                </c:pt>
                <c:pt idx="7">
                  <c:v>25609</c:v>
                </c:pt>
                <c:pt idx="8">
                  <c:v>26859</c:v>
                </c:pt>
                <c:pt idx="9">
                  <c:v>31359</c:v>
                </c:pt>
                <c:pt idx="10">
                  <c:v>26859</c:v>
                </c:pt>
                <c:pt idx="11">
                  <c:v>26849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5D1C-E745-B1DF-96B12E13CD26}"/>
            </c:ext>
          </c:extLst>
        </c:ser>
        <c:ser>
          <c:idx val="2"/>
          <c:order val="2"/>
          <c:tx>
            <c:strRef>
              <c:f>Payslip!$D$1</c:f>
              <c:strCache>
                <c:ptCount val="1"/>
                <c:pt idx="0">
                  <c:v>C-B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Payslip!$A$2:$A$13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Payslip!$D$2:$D$13</c:f>
              <c:numCache>
                <c:formatCode>General</c:formatCode>
                <c:ptCount val="12"/>
                <c:pt idx="0">
                  <c:v>7883</c:v>
                </c:pt>
                <c:pt idx="1">
                  <c:v>1101</c:v>
                </c:pt>
                <c:pt idx="2">
                  <c:v>1439</c:v>
                </c:pt>
                <c:pt idx="3">
                  <c:v>2214</c:v>
                </c:pt>
                <c:pt idx="4">
                  <c:v>2037</c:v>
                </c:pt>
                <c:pt idx="5">
                  <c:v>6105</c:v>
                </c:pt>
                <c:pt idx="6">
                  <c:v>3934</c:v>
                </c:pt>
                <c:pt idx="7">
                  <c:v>2173</c:v>
                </c:pt>
                <c:pt idx="8">
                  <c:v>2173</c:v>
                </c:pt>
                <c:pt idx="9">
                  <c:v>4873</c:v>
                </c:pt>
                <c:pt idx="10">
                  <c:v>2173</c:v>
                </c:pt>
                <c:pt idx="11">
                  <c:v>2173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5D1C-E745-B1DF-96B12E13C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1"/>
        <c:extLst>
          <c:ext xmlns:sm="smo" uri="smo">
            <sm:boxPlot xmlns:sm="smo" val="0"/>
            <sm:turned xmlns:sm="smo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"/>
        <c:crosses val="autoZero"/>
        <c:auto val="1"/>
        <c:lblAlgn val="l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40494865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Payslip!$O$1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Payslip!$N$2:$N$13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Payslip!$O$2:$O$13</c:f>
              <c:numCache>
                <c:formatCode>General</c:formatCode>
                <c:ptCount val="12"/>
                <c:pt idx="0">
                  <c:v>25792</c:v>
                </c:pt>
                <c:pt idx="1">
                  <c:v>25243</c:v>
                </c:pt>
                <c:pt idx="2">
                  <c:v>25243</c:v>
                </c:pt>
                <c:pt idx="3">
                  <c:v>28197</c:v>
                </c:pt>
                <c:pt idx="4">
                  <c:v>25243</c:v>
                </c:pt>
                <c:pt idx="5">
                  <c:v>29311</c:v>
                </c:pt>
                <c:pt idx="6">
                  <c:v>30828</c:v>
                </c:pt>
                <c:pt idx="7">
                  <c:v>25609</c:v>
                </c:pt>
                <c:pt idx="8">
                  <c:v>26859</c:v>
                </c:pt>
                <c:pt idx="9">
                  <c:v>31359</c:v>
                </c:pt>
                <c:pt idx="10">
                  <c:v>26859</c:v>
                </c:pt>
                <c:pt idx="11">
                  <c:v>26849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378F-DA45-BDB9-9C06FB402BAC}"/>
            </c:ext>
          </c:extLst>
        </c:ser>
        <c:ser>
          <c:idx val="1"/>
          <c:order val="1"/>
          <c:tx>
            <c:strRef>
              <c:f>Payslip!$P$1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Payslip!$N$2:$N$13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Payslip!$P$2:$P$13</c:f>
              <c:numCache>
                <c:formatCode>General</c:formatCode>
                <c:ptCount val="12"/>
                <c:pt idx="0">
                  <c:v>32119</c:v>
                </c:pt>
                <c:pt idx="1">
                  <c:v>28869</c:v>
                </c:pt>
                <c:pt idx="2">
                  <c:v>28869</c:v>
                </c:pt>
                <c:pt idx="3">
                  <c:v>34319</c:v>
                </c:pt>
                <c:pt idx="4">
                  <c:v>31638</c:v>
                </c:pt>
                <c:pt idx="5">
                  <c:v>29994</c:v>
                </c:pt>
                <c:pt idx="6">
                  <c:v>36513</c:v>
                </c:pt>
                <c:pt idx="7">
                  <c:v>29263</c:v>
                </c:pt>
                <c:pt idx="8">
                  <c:v>30513</c:v>
                </c:pt>
                <c:pt idx="9">
                  <c:v>36513</c:v>
                </c:pt>
                <c:pt idx="10">
                  <c:v>30513</c:v>
                </c:pt>
                <c:pt idx="11">
                  <c:v>30493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378F-DA45-BDB9-9C06FB402BAC}"/>
            </c:ext>
          </c:extLst>
        </c:ser>
        <c:ser>
          <c:idx val="2"/>
          <c:order val="2"/>
          <c:tx>
            <c:strRef>
              <c:f>Payslip!$Q$1</c:f>
              <c:strCache>
                <c:ptCount val="1"/>
                <c:pt idx="0">
                  <c:v>O-N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Payslip!$N$2:$N$13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Payslip!$Q$2:$Q$13</c:f>
              <c:numCache>
                <c:formatCode>General</c:formatCode>
                <c:ptCount val="12"/>
                <c:pt idx="0">
                  <c:v>6327</c:v>
                </c:pt>
                <c:pt idx="1">
                  <c:v>3626</c:v>
                </c:pt>
                <c:pt idx="2">
                  <c:v>3626</c:v>
                </c:pt>
                <c:pt idx="3">
                  <c:v>6122</c:v>
                </c:pt>
                <c:pt idx="4">
                  <c:v>6395</c:v>
                </c:pt>
                <c:pt idx="5">
                  <c:v>683</c:v>
                </c:pt>
                <c:pt idx="6">
                  <c:v>5685</c:v>
                </c:pt>
                <c:pt idx="7">
                  <c:v>3654</c:v>
                </c:pt>
                <c:pt idx="8">
                  <c:v>3654</c:v>
                </c:pt>
                <c:pt idx="9">
                  <c:v>5154</c:v>
                </c:pt>
                <c:pt idx="10">
                  <c:v>3654</c:v>
                </c:pt>
                <c:pt idx="11">
                  <c:v>3644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378F-DA45-BDB9-9C06FB40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1"/>
        <c:extLst>
          <c:ext xmlns:sm="smo" uri="smo">
            <sm:boxPlot xmlns:sm="smo" val="0"/>
            <sm:turned xmlns:sm="smo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"/>
        <c:crosses val="autoZero"/>
        <c:auto val="1"/>
        <c:lblAlgn val="l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40494865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Payslip!$B$37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Payslip!$A$38:$A$49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Payslip!$B$38:$B$49</c:f>
              <c:numCache>
                <c:formatCode>General</c:formatCode>
                <c:ptCount val="12"/>
                <c:pt idx="0">
                  <c:v>32119</c:v>
                </c:pt>
                <c:pt idx="1">
                  <c:v>28869</c:v>
                </c:pt>
                <c:pt idx="2">
                  <c:v>28869</c:v>
                </c:pt>
                <c:pt idx="3">
                  <c:v>34319</c:v>
                </c:pt>
                <c:pt idx="4">
                  <c:v>31638</c:v>
                </c:pt>
                <c:pt idx="5">
                  <c:v>29994</c:v>
                </c:pt>
                <c:pt idx="6">
                  <c:v>36513</c:v>
                </c:pt>
                <c:pt idx="7">
                  <c:v>29263</c:v>
                </c:pt>
                <c:pt idx="8">
                  <c:v>30513</c:v>
                </c:pt>
                <c:pt idx="9">
                  <c:v>36513</c:v>
                </c:pt>
                <c:pt idx="10">
                  <c:v>30513</c:v>
                </c:pt>
                <c:pt idx="11">
                  <c:v>30493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4FC0-E246-BC88-4E6E84EECA3B}"/>
            </c:ext>
          </c:extLst>
        </c:ser>
        <c:ser>
          <c:idx val="1"/>
          <c:order val="1"/>
          <c:tx>
            <c:strRef>
              <c:f>Payslip!$C$37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Payslip!$A$38:$A$49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Payslip!$C$38:$C$49</c:f>
              <c:numCache>
                <c:formatCode>General</c:formatCode>
                <c:ptCount val="12"/>
                <c:pt idx="0">
                  <c:v>35263</c:v>
                </c:pt>
                <c:pt idx="1">
                  <c:v>30513</c:v>
                </c:pt>
                <c:pt idx="2">
                  <c:v>33296</c:v>
                </c:pt>
                <c:pt idx="3">
                  <c:v>38012</c:v>
                </c:pt>
                <c:pt idx="4">
                  <c:v>31374</c:v>
                </c:pt>
                <c:pt idx="5">
                  <c:v>31374</c:v>
                </c:pt>
                <c:pt idx="6">
                  <c:v>38562</c:v>
                </c:pt>
                <c:pt idx="7">
                  <c:v>31012</c:v>
                </c:pt>
                <c:pt idx="8">
                  <c:v>32262</c:v>
                </c:pt>
                <c:pt idx="9">
                  <c:v>38562</c:v>
                </c:pt>
                <c:pt idx="10">
                  <c:v>32262</c:v>
                </c:pt>
                <c:pt idx="11">
                  <c:v>32242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4FC0-E246-BC88-4E6E84EECA3B}"/>
            </c:ext>
          </c:extLst>
        </c:ser>
        <c:ser>
          <c:idx val="2"/>
          <c:order val="2"/>
          <c:tx>
            <c:strRef>
              <c:f>Payslip!$D$37</c:f>
              <c:strCache>
                <c:ptCount val="1"/>
                <c:pt idx="0">
                  <c:v>C-B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Payslip!$A$38:$A$49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APR(QVA)</c:v>
                </c:pt>
                <c:pt idx="4">
                  <c:v>MAY</c:v>
                </c:pt>
                <c:pt idx="5">
                  <c:v>JUN</c:v>
                </c:pt>
                <c:pt idx="6">
                  <c:v>JUL(QVA)</c:v>
                </c:pt>
                <c:pt idx="7">
                  <c:v>AUG</c:v>
                </c:pt>
                <c:pt idx="8">
                  <c:v>SEP</c:v>
                </c:pt>
                <c:pt idx="9">
                  <c:v>OCT(QVA)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Payslip!$D$38:$D$49</c:f>
              <c:numCache>
                <c:formatCode>General</c:formatCode>
                <c:ptCount val="12"/>
                <c:pt idx="0">
                  <c:v>3144</c:v>
                </c:pt>
                <c:pt idx="1">
                  <c:v>1644</c:v>
                </c:pt>
                <c:pt idx="2">
                  <c:v>4427</c:v>
                </c:pt>
                <c:pt idx="3">
                  <c:v>3693</c:v>
                </c:pt>
                <c:pt idx="4">
                  <c:v>-264</c:v>
                </c:pt>
                <c:pt idx="5">
                  <c:v>1380</c:v>
                </c:pt>
                <c:pt idx="6">
                  <c:v>2049</c:v>
                </c:pt>
                <c:pt idx="7">
                  <c:v>1749</c:v>
                </c:pt>
                <c:pt idx="8">
                  <c:v>1749</c:v>
                </c:pt>
                <c:pt idx="9">
                  <c:v>2049</c:v>
                </c:pt>
                <c:pt idx="10">
                  <c:v>1749</c:v>
                </c:pt>
                <c:pt idx="11">
                  <c:v>1749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4FC0-E246-BC88-4E6E84EEC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1"/>
        <c:extLst>
          <c:ext xmlns:sm="smo" uri="smo">
            <sm:boxPlot xmlns:sm="smo" val="0"/>
            <sm:turned xmlns:sm="smo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"/>
        <c:crosses val="autoZero"/>
        <c:auto val="1"/>
        <c:lblAlgn val="l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40494865" val="15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Payslip!$O$37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Payslip!$N$38:$N$49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Payslip!$O$38:$O$49</c:f>
              <c:numCache>
                <c:formatCode>General</c:formatCode>
                <c:ptCount val="12"/>
                <c:pt idx="0">
                  <c:v>35263</c:v>
                </c:pt>
                <c:pt idx="1">
                  <c:v>30513</c:v>
                </c:pt>
                <c:pt idx="2">
                  <c:v>33296</c:v>
                </c:pt>
                <c:pt idx="3">
                  <c:v>38012</c:v>
                </c:pt>
                <c:pt idx="4">
                  <c:v>31374</c:v>
                </c:pt>
                <c:pt idx="5">
                  <c:v>31374</c:v>
                </c:pt>
                <c:pt idx="6">
                  <c:v>38562</c:v>
                </c:pt>
                <c:pt idx="7">
                  <c:v>31012</c:v>
                </c:pt>
                <c:pt idx="8">
                  <c:v>32262</c:v>
                </c:pt>
                <c:pt idx="9">
                  <c:v>38562</c:v>
                </c:pt>
                <c:pt idx="10">
                  <c:v>32262</c:v>
                </c:pt>
                <c:pt idx="11">
                  <c:v>32242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5DBB-8C4C-8B45-2588A9AC9ECC}"/>
            </c:ext>
          </c:extLst>
        </c:ser>
        <c:ser>
          <c:idx val="1"/>
          <c:order val="1"/>
          <c:tx>
            <c:strRef>
              <c:f>Payslip!$P$37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Payslip!$N$38:$N$49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Payslip!$P$38:$P$49</c:f>
              <c:numCache>
                <c:formatCode>General</c:formatCode>
                <c:ptCount val="12"/>
                <c:pt idx="0">
                  <c:v>81814</c:v>
                </c:pt>
                <c:pt idx="1">
                  <c:v>53507</c:v>
                </c:pt>
                <c:pt idx="2">
                  <c:v>51826</c:v>
                </c:pt>
                <c:pt idx="3">
                  <c:v>50778</c:v>
                </c:pt>
                <c:pt idx="4">
                  <c:v>54747</c:v>
                </c:pt>
                <c:pt idx="5">
                  <c:v>54748</c:v>
                </c:pt>
                <c:pt idx="6">
                  <c:v>54747</c:v>
                </c:pt>
                <c:pt idx="7">
                  <c:v>54748</c:v>
                </c:pt>
                <c:pt idx="8">
                  <c:v>54748</c:v>
                </c:pt>
                <c:pt idx="9">
                  <c:v>46102</c:v>
                </c:pt>
                <c:pt idx="10">
                  <c:v>46776</c:v>
                </c:pt>
                <c:pt idx="11">
                  <c:v>46775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5DBB-8C4C-8B45-2588A9AC9ECC}"/>
            </c:ext>
          </c:extLst>
        </c:ser>
        <c:ser>
          <c:idx val="2"/>
          <c:order val="2"/>
          <c:tx>
            <c:strRef>
              <c:f>Payslip!$Q$37</c:f>
              <c:strCache>
                <c:ptCount val="1"/>
                <c:pt idx="0">
                  <c:v>O-N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Payslip!$N$38:$N$49</c:f>
              <c:strCache>
                <c:ptCount val="12"/>
                <c:pt idx="0">
                  <c:v>JAN(QVA)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Payslip!$Q$38:$Q$49</c:f>
              <c:numCache>
                <c:formatCode>General</c:formatCode>
                <c:ptCount val="12"/>
                <c:pt idx="0">
                  <c:v>46551</c:v>
                </c:pt>
                <c:pt idx="1">
                  <c:v>22994</c:v>
                </c:pt>
                <c:pt idx="2">
                  <c:v>18530</c:v>
                </c:pt>
                <c:pt idx="3">
                  <c:v>12766</c:v>
                </c:pt>
                <c:pt idx="4">
                  <c:v>23373</c:v>
                </c:pt>
                <c:pt idx="5">
                  <c:v>23374</c:v>
                </c:pt>
                <c:pt idx="6">
                  <c:v>16185</c:v>
                </c:pt>
                <c:pt idx="7">
                  <c:v>23736</c:v>
                </c:pt>
                <c:pt idx="8">
                  <c:v>22486</c:v>
                </c:pt>
                <c:pt idx="9">
                  <c:v>7540</c:v>
                </c:pt>
                <c:pt idx="10">
                  <c:v>14514</c:v>
                </c:pt>
                <c:pt idx="11">
                  <c:v>14533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5DBB-8C4C-8B45-2588A9AC9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1"/>
        <c:extLst>
          <c:ext xmlns:sm="smo" uri="smo">
            <sm:boxPlot xmlns:sm="smo" val="0"/>
            <sm:turned xmlns:sm="smo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"/>
        <c:crosses val="autoZero"/>
        <c:auto val="1"/>
        <c:lblAlgn val="l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40494865" val="15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Comparison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Payslip!$B$61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Payslip!$A$62:$A$73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Payslip!$B$62:$B$73</c:f>
              <c:numCache>
                <c:formatCode>General</c:formatCode>
                <c:ptCount val="12"/>
                <c:pt idx="0">
                  <c:v>81814</c:v>
                </c:pt>
                <c:pt idx="1">
                  <c:v>53507</c:v>
                </c:pt>
                <c:pt idx="2">
                  <c:v>51826</c:v>
                </c:pt>
                <c:pt idx="3">
                  <c:v>50778</c:v>
                </c:pt>
                <c:pt idx="4">
                  <c:v>54747</c:v>
                </c:pt>
                <c:pt idx="5">
                  <c:v>54748</c:v>
                </c:pt>
                <c:pt idx="6">
                  <c:v>54747</c:v>
                </c:pt>
                <c:pt idx="7">
                  <c:v>54748</c:v>
                </c:pt>
                <c:pt idx="8">
                  <c:v>54748</c:v>
                </c:pt>
                <c:pt idx="9">
                  <c:v>46102</c:v>
                </c:pt>
                <c:pt idx="10">
                  <c:v>46776</c:v>
                </c:pt>
                <c:pt idx="11">
                  <c:v>46775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49F4-5A4B-80FE-9F13B53A998F}"/>
            </c:ext>
          </c:extLst>
        </c:ser>
        <c:ser>
          <c:idx val="1"/>
          <c:order val="1"/>
          <c:tx>
            <c:strRef>
              <c:f>Payslip!$C$61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Payslip!$A$62:$A$73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Payslip!$C$62:$C$73</c:f>
              <c:numCache>
                <c:formatCode>General</c:formatCode>
                <c:ptCount val="12"/>
                <c:pt idx="0">
                  <c:v>54695</c:v>
                </c:pt>
                <c:pt idx="1">
                  <c:v>59381</c:v>
                </c:pt>
                <c:pt idx="2">
                  <c:v>54088</c:v>
                </c:pt>
                <c:pt idx="3">
                  <c:v>130531</c:v>
                </c:pt>
                <c:pt idx="4">
                  <c:v>80531</c:v>
                </c:pt>
                <c:pt idx="5">
                  <c:v>112811</c:v>
                </c:pt>
                <c:pt idx="6">
                  <c:v>80531</c:v>
                </c:pt>
                <c:pt idx="7">
                  <c:v>79281</c:v>
                </c:pt>
                <c:pt idx="8">
                  <c:v>80531</c:v>
                </c:pt>
                <c:pt idx="9">
                  <c:v>80531</c:v>
                </c:pt>
                <c:pt idx="10">
                  <c:v>80531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49F4-5A4B-80FE-9F13B53A998F}"/>
            </c:ext>
          </c:extLst>
        </c:ser>
        <c:ser>
          <c:idx val="2"/>
          <c:order val="2"/>
          <c:tx>
            <c:strRef>
              <c:f>Payslip!$D$61</c:f>
              <c:strCache>
                <c:ptCount val="1"/>
                <c:pt idx="0">
                  <c:v>O-N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Payslip!$A$62:$A$73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Payslip!$D$62:$D$73</c:f>
              <c:numCache>
                <c:formatCode>General</c:formatCode>
                <c:ptCount val="12"/>
                <c:pt idx="0">
                  <c:v>-27119</c:v>
                </c:pt>
                <c:pt idx="1">
                  <c:v>5874</c:v>
                </c:pt>
                <c:pt idx="2">
                  <c:v>2262</c:v>
                </c:pt>
                <c:pt idx="3">
                  <c:v>79753</c:v>
                </c:pt>
                <c:pt idx="4">
                  <c:v>25784</c:v>
                </c:pt>
                <c:pt idx="5">
                  <c:v>58063</c:v>
                </c:pt>
                <c:pt idx="6">
                  <c:v>25784</c:v>
                </c:pt>
                <c:pt idx="7">
                  <c:v>24533</c:v>
                </c:pt>
                <c:pt idx="8">
                  <c:v>25783</c:v>
                </c:pt>
                <c:pt idx="9">
                  <c:v>34429</c:v>
                </c:pt>
                <c:pt idx="10">
                  <c:v>33755</c:v>
                </c:pt>
                <c:pt idx="11">
                  <c:v>-46775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49F4-5A4B-80FE-9F13B53A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1"/>
        <c:extLst>
          <c:ext xmlns:sm="smo" uri="smo">
            <sm:boxPlot xmlns:sm="smo" val="0"/>
            <sm:turned xmlns:sm="smo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"/>
        <c:crosses val="autoZero"/>
        <c:auto val="1"/>
        <c:lblAlgn val="l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40494865" val="15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Hike!$A$2</c:f>
              <c:strCache>
                <c:ptCount val="1"/>
                <c:pt idx="0">
                  <c:v>Year=20-21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Hike!$A$3:$A$14</c:f>
              <c:numCache>
                <c:formatCode>General</c:formatCode>
                <c:ptCount val="12"/>
                <c:pt idx="0">
                  <c:v>7883</c:v>
                </c:pt>
                <c:pt idx="1">
                  <c:v>1101</c:v>
                </c:pt>
                <c:pt idx="2">
                  <c:v>1439</c:v>
                </c:pt>
                <c:pt idx="3">
                  <c:v>2214</c:v>
                </c:pt>
                <c:pt idx="4">
                  <c:v>2037</c:v>
                </c:pt>
                <c:pt idx="5">
                  <c:v>6105</c:v>
                </c:pt>
                <c:pt idx="6">
                  <c:v>3934</c:v>
                </c:pt>
                <c:pt idx="7">
                  <c:v>2173</c:v>
                </c:pt>
                <c:pt idx="8">
                  <c:v>2173</c:v>
                </c:pt>
                <c:pt idx="9">
                  <c:v>4873</c:v>
                </c:pt>
                <c:pt idx="10">
                  <c:v>2173</c:v>
                </c:pt>
                <c:pt idx="11">
                  <c:v>2173</c:v>
                </c:pt>
              </c:numCache>
            </c:numRef>
          </c:val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DF76-1241-BE30-6D370B245099}"/>
            </c:ext>
          </c:extLst>
        </c:ser>
        <c:ser>
          <c:idx val="1"/>
          <c:order val="1"/>
          <c:tx>
            <c:strRef>
              <c:f>Hike!$B$2</c:f>
              <c:strCache>
                <c:ptCount val="1"/>
                <c:pt idx="0">
                  <c:v>Year=21-22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Hike!$B$3:$B$14</c:f>
              <c:numCache>
                <c:formatCode>General</c:formatCode>
                <c:ptCount val="12"/>
                <c:pt idx="0">
                  <c:v>6327</c:v>
                </c:pt>
                <c:pt idx="1">
                  <c:v>3626</c:v>
                </c:pt>
                <c:pt idx="2">
                  <c:v>3626</c:v>
                </c:pt>
                <c:pt idx="3">
                  <c:v>6122</c:v>
                </c:pt>
                <c:pt idx="4">
                  <c:v>6395</c:v>
                </c:pt>
                <c:pt idx="5">
                  <c:v>683</c:v>
                </c:pt>
                <c:pt idx="6">
                  <c:v>5685</c:v>
                </c:pt>
                <c:pt idx="7">
                  <c:v>3654</c:v>
                </c:pt>
                <c:pt idx="8">
                  <c:v>3654</c:v>
                </c:pt>
                <c:pt idx="9">
                  <c:v>5154</c:v>
                </c:pt>
                <c:pt idx="10">
                  <c:v>3654</c:v>
                </c:pt>
                <c:pt idx="11">
                  <c:v>3644</c:v>
                </c:pt>
              </c:numCache>
            </c:numRef>
          </c:val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DF76-1241-BE30-6D370B245099}"/>
            </c:ext>
          </c:extLst>
        </c:ser>
        <c:ser>
          <c:idx val="2"/>
          <c:order val="2"/>
          <c:tx>
            <c:strRef>
              <c:f>Hike!$C$2</c:f>
              <c:strCache>
                <c:ptCount val="1"/>
                <c:pt idx="0">
                  <c:v>Year=22-23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Hike!$C$3:$C$14</c:f>
              <c:numCache>
                <c:formatCode>General</c:formatCode>
                <c:ptCount val="12"/>
                <c:pt idx="0">
                  <c:v>3144</c:v>
                </c:pt>
                <c:pt idx="1">
                  <c:v>1644</c:v>
                </c:pt>
                <c:pt idx="2">
                  <c:v>4427</c:v>
                </c:pt>
                <c:pt idx="3">
                  <c:v>3693</c:v>
                </c:pt>
                <c:pt idx="4">
                  <c:v>-264</c:v>
                </c:pt>
                <c:pt idx="5">
                  <c:v>1380</c:v>
                </c:pt>
                <c:pt idx="6">
                  <c:v>2049</c:v>
                </c:pt>
                <c:pt idx="7">
                  <c:v>1749</c:v>
                </c:pt>
                <c:pt idx="8">
                  <c:v>1749</c:v>
                </c:pt>
                <c:pt idx="9">
                  <c:v>2049</c:v>
                </c:pt>
                <c:pt idx="10">
                  <c:v>1749</c:v>
                </c:pt>
                <c:pt idx="11">
                  <c:v>1749</c:v>
                </c:pt>
              </c:numCache>
            </c:numRef>
          </c:val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DF76-1241-BE30-6D370B245099}"/>
            </c:ext>
          </c:extLst>
        </c:ser>
        <c:ser>
          <c:idx val="3"/>
          <c:order val="3"/>
          <c:tx>
            <c:strRef>
              <c:f>Hike!$D$2</c:f>
              <c:strCache>
                <c:ptCount val="1"/>
                <c:pt idx="0">
                  <c:v>Year=23-24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Hike!$D$3:$D$14</c:f>
              <c:numCache>
                <c:formatCode>General</c:formatCode>
                <c:ptCount val="12"/>
                <c:pt idx="0">
                  <c:v>46551</c:v>
                </c:pt>
                <c:pt idx="1">
                  <c:v>22994</c:v>
                </c:pt>
                <c:pt idx="2">
                  <c:v>18530</c:v>
                </c:pt>
                <c:pt idx="3">
                  <c:v>12766</c:v>
                </c:pt>
                <c:pt idx="4">
                  <c:v>23373</c:v>
                </c:pt>
                <c:pt idx="5">
                  <c:v>23374</c:v>
                </c:pt>
                <c:pt idx="6">
                  <c:v>16185</c:v>
                </c:pt>
                <c:pt idx="7">
                  <c:v>23736</c:v>
                </c:pt>
                <c:pt idx="8">
                  <c:v>22486</c:v>
                </c:pt>
                <c:pt idx="9">
                  <c:v>7540</c:v>
                </c:pt>
                <c:pt idx="10">
                  <c:v>14514</c:v>
                </c:pt>
                <c:pt idx="11">
                  <c:v>14533</c:v>
                </c:pt>
              </c:numCache>
            </c:numRef>
          </c:val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DF76-1241-BE30-6D370B245099}"/>
            </c:ext>
          </c:extLst>
        </c:ser>
        <c:ser>
          <c:idx val="4"/>
          <c:order val="4"/>
          <c:tx>
            <c:strRef>
              <c:f>Hike!$E$2</c:f>
              <c:strCache>
                <c:ptCount val="1"/>
                <c:pt idx="0">
                  <c:v>Year=24-25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Hike!$E$3:$E$14</c:f>
              <c:numCache>
                <c:formatCode>General</c:formatCode>
                <c:ptCount val="12"/>
                <c:pt idx="0">
                  <c:v>-27119</c:v>
                </c:pt>
                <c:pt idx="1">
                  <c:v>5874</c:v>
                </c:pt>
                <c:pt idx="2">
                  <c:v>2262</c:v>
                </c:pt>
                <c:pt idx="3">
                  <c:v>79753</c:v>
                </c:pt>
                <c:pt idx="4">
                  <c:v>25784</c:v>
                </c:pt>
                <c:pt idx="5">
                  <c:v>58063</c:v>
                </c:pt>
                <c:pt idx="6">
                  <c:v>25784</c:v>
                </c:pt>
                <c:pt idx="7">
                  <c:v>24533</c:v>
                </c:pt>
                <c:pt idx="8">
                  <c:v>25783</c:v>
                </c:pt>
                <c:pt idx="9">
                  <c:v>34429</c:v>
                </c:pt>
                <c:pt idx="10">
                  <c:v>33755</c:v>
                </c:pt>
                <c:pt idx="11">
                  <c:v>-46775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DF76-1241-BE30-6D370B245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"/>
        <c:crosses val="autoZero"/>
        <c:auto val="1"/>
        <c:lblAlgn val="l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40494865" val="15"/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0</xdr:rowOff>
    </xdr:from>
    <xdr:to>
      <xdr:col>11</xdr:col>
      <xdr:colOff>550545</xdr:colOff>
      <xdr:row>15</xdr:row>
      <xdr:rowOff>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5</xdr:col>
      <xdr:colOff>57150</xdr:colOff>
      <xdr:row>16</xdr:row>
      <xdr:rowOff>0</xdr:rowOff>
    </xdr:from>
    <xdr:to>
      <xdr:col>11</xdr:col>
      <xdr:colOff>531495</xdr:colOff>
      <xdr:row>30</xdr:row>
      <xdr:rowOff>123825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 editAs="oneCell">
    <xdr:from>
      <xdr:col>5</xdr:col>
      <xdr:colOff>0</xdr:colOff>
      <xdr:row>36</xdr:row>
      <xdr:rowOff>0</xdr:rowOff>
    </xdr:from>
    <xdr:to>
      <xdr:col>11</xdr:col>
      <xdr:colOff>474980</xdr:colOff>
      <xdr:row>51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5</xdr:col>
      <xdr:colOff>0</xdr:colOff>
      <xdr:row>53</xdr:row>
      <xdr:rowOff>0</xdr:rowOff>
    </xdr:from>
    <xdr:to>
      <xdr:col>11</xdr:col>
      <xdr:colOff>474980</xdr:colOff>
      <xdr:row>67</xdr:row>
      <xdr:rowOff>104775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 editAs="oneCell">
    <xdr:from>
      <xdr:col>5</xdr:col>
      <xdr:colOff>34290</xdr:colOff>
      <xdr:row>69</xdr:row>
      <xdr:rowOff>12700</xdr:rowOff>
    </xdr:from>
    <xdr:to>
      <xdr:col>11</xdr:col>
      <xdr:colOff>506730</xdr:colOff>
      <xdr:row>83</xdr:row>
      <xdr:rowOff>24765</xdr:rowOff>
    </xdr:to>
    <xdr:graphicFrame macro="">
      <xdr:nvGraphicFramePr>
        <xdr:cNvPr id="2" name="Chart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190499</xdr:rowOff>
    </xdr:from>
    <xdr:to>
      <xdr:col>11</xdr:col>
      <xdr:colOff>359551</xdr:colOff>
      <xdr:row>43</xdr:row>
      <xdr:rowOff>136876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showGridLines="0" topLeftCell="A61" zoomScaleNormal="100" workbookViewId="0">
      <selection activeCell="C73" sqref="C73"/>
    </sheetView>
  </sheetViews>
  <sheetFormatPr defaultColWidth="14.36328125" defaultRowHeight="15" customHeight="1" x14ac:dyDescent="0.35"/>
  <cols>
    <col min="1" max="1" width="21.453125" customWidth="1"/>
    <col min="2" max="2" width="20.54296875" customWidth="1"/>
    <col min="3" max="3" width="18.1796875" customWidth="1"/>
    <col min="4" max="4" width="13.7265625" customWidth="1"/>
    <col min="5" max="5" width="21.81640625" customWidth="1"/>
    <col min="6" max="13" width="12.6328125" customWidth="1"/>
    <col min="14" max="14" width="19.54296875" customWidth="1"/>
    <col min="15" max="15" width="18.54296875" customWidth="1"/>
    <col min="16" max="16" width="20.81640625" customWidth="1"/>
    <col min="17" max="17" width="16.54296875" customWidth="1"/>
    <col min="18" max="18" width="12.6328125" customWidth="1"/>
  </cols>
  <sheetData>
    <row r="1" spans="1:18" ht="15" customHeight="1" x14ac:dyDescent="0.35">
      <c r="A1" s="1" t="s">
        <v>0</v>
      </c>
      <c r="B1" s="1">
        <v>2020</v>
      </c>
      <c r="C1" s="1">
        <v>2021</v>
      </c>
      <c r="D1" s="1" t="s">
        <v>1</v>
      </c>
      <c r="E1" s="2"/>
      <c r="F1" s="2"/>
      <c r="G1" s="2"/>
      <c r="H1" s="2"/>
      <c r="I1" s="2"/>
      <c r="J1" s="2"/>
      <c r="K1" s="2"/>
      <c r="L1" s="2"/>
      <c r="M1" s="2"/>
      <c r="N1" s="1" t="s">
        <v>0</v>
      </c>
      <c r="O1" s="1">
        <v>2021</v>
      </c>
      <c r="P1" s="1">
        <v>2022</v>
      </c>
      <c r="Q1" s="1" t="s">
        <v>2</v>
      </c>
      <c r="R1" s="2"/>
    </row>
    <row r="2" spans="1:18" ht="15" customHeight="1" x14ac:dyDescent="0.35">
      <c r="A2" s="3" t="s">
        <v>3</v>
      </c>
      <c r="B2" s="4">
        <v>17909</v>
      </c>
      <c r="C2" s="5">
        <v>25792</v>
      </c>
      <c r="D2" s="3">
        <f t="shared" ref="D2:D13" si="0">C2-B2</f>
        <v>7883</v>
      </c>
      <c r="E2" s="6"/>
      <c r="N2" s="3" t="s">
        <v>3</v>
      </c>
      <c r="O2" s="5">
        <v>25792</v>
      </c>
      <c r="P2" s="5">
        <v>32119</v>
      </c>
      <c r="Q2" s="4">
        <f>AVERAGE(P2-O2)</f>
        <v>6327</v>
      </c>
    </row>
    <row r="3" spans="1:18" ht="15" customHeight="1" x14ac:dyDescent="0.35">
      <c r="A3" s="3" t="s">
        <v>4</v>
      </c>
      <c r="B3" s="4">
        <v>24142</v>
      </c>
      <c r="C3" s="5">
        <v>25243</v>
      </c>
      <c r="D3" s="4">
        <f t="shared" si="0"/>
        <v>1101</v>
      </c>
      <c r="E3" s="6"/>
      <c r="N3" s="3" t="s">
        <v>4</v>
      </c>
      <c r="O3" s="5">
        <v>25243</v>
      </c>
      <c r="P3" s="5">
        <v>28869</v>
      </c>
      <c r="Q3" s="4">
        <f t="shared" ref="Q3:Q13" si="1">P3-O3</f>
        <v>3626</v>
      </c>
    </row>
    <row r="4" spans="1:18" ht="15" customHeight="1" x14ac:dyDescent="0.35">
      <c r="A4" s="3" t="s">
        <v>5</v>
      </c>
      <c r="B4" s="4">
        <v>23804</v>
      </c>
      <c r="C4" s="5">
        <v>25243</v>
      </c>
      <c r="D4" s="4">
        <f t="shared" si="0"/>
        <v>1439</v>
      </c>
      <c r="E4" s="6"/>
      <c r="N4" s="3" t="s">
        <v>5</v>
      </c>
      <c r="O4" s="5">
        <v>25243</v>
      </c>
      <c r="P4" s="5">
        <v>28869</v>
      </c>
      <c r="Q4" s="4">
        <f t="shared" si="1"/>
        <v>3626</v>
      </c>
    </row>
    <row r="5" spans="1:18" ht="15" customHeight="1" x14ac:dyDescent="0.35">
      <c r="A5" s="3" t="s">
        <v>6</v>
      </c>
      <c r="B5" s="4">
        <v>25983</v>
      </c>
      <c r="C5" s="5">
        <v>28197</v>
      </c>
      <c r="D5" s="4">
        <f t="shared" si="0"/>
        <v>2214</v>
      </c>
      <c r="E5" s="6"/>
      <c r="N5" s="3" t="s">
        <v>6</v>
      </c>
      <c r="O5" s="5">
        <v>28197</v>
      </c>
      <c r="P5" s="5">
        <v>34319</v>
      </c>
      <c r="Q5" s="4">
        <f t="shared" si="1"/>
        <v>6122</v>
      </c>
    </row>
    <row r="6" spans="1:18" ht="15" customHeight="1" x14ac:dyDescent="0.35">
      <c r="A6" s="3" t="s">
        <v>7</v>
      </c>
      <c r="B6" s="4">
        <v>23206</v>
      </c>
      <c r="C6" s="5">
        <v>25243</v>
      </c>
      <c r="D6" s="4">
        <f t="shared" si="0"/>
        <v>2037</v>
      </c>
      <c r="E6" s="6"/>
      <c r="N6" s="3" t="s">
        <v>7</v>
      </c>
      <c r="O6" s="5">
        <v>25243</v>
      </c>
      <c r="P6" s="4">
        <v>31638</v>
      </c>
      <c r="Q6" s="3">
        <f t="shared" si="1"/>
        <v>6395</v>
      </c>
    </row>
    <row r="7" spans="1:18" ht="15" customHeight="1" x14ac:dyDescent="0.35">
      <c r="A7" s="3" t="s">
        <v>8</v>
      </c>
      <c r="B7" s="4">
        <v>23206</v>
      </c>
      <c r="C7" s="4">
        <v>29311</v>
      </c>
      <c r="D7" s="4">
        <f t="shared" si="0"/>
        <v>6105</v>
      </c>
      <c r="E7" s="6"/>
      <c r="N7" s="3" t="s">
        <v>8</v>
      </c>
      <c r="O7" s="4">
        <v>29311</v>
      </c>
      <c r="P7" s="4">
        <v>29994</v>
      </c>
      <c r="Q7" s="4">
        <f t="shared" si="1"/>
        <v>683</v>
      </c>
    </row>
    <row r="8" spans="1:18" ht="15" customHeight="1" x14ac:dyDescent="0.35">
      <c r="A8" s="3" t="s">
        <v>9</v>
      </c>
      <c r="B8" s="4">
        <v>26894</v>
      </c>
      <c r="C8" s="4">
        <v>30828</v>
      </c>
      <c r="D8" s="4">
        <f t="shared" si="0"/>
        <v>3934</v>
      </c>
      <c r="E8" s="6"/>
      <c r="N8" s="3" t="s">
        <v>9</v>
      </c>
      <c r="O8" s="4">
        <v>30828</v>
      </c>
      <c r="P8" s="4">
        <v>36513</v>
      </c>
      <c r="Q8" s="4">
        <f t="shared" si="1"/>
        <v>5685</v>
      </c>
    </row>
    <row r="9" spans="1:18" ht="15" customHeight="1" x14ac:dyDescent="0.35">
      <c r="A9" s="3" t="s">
        <v>10</v>
      </c>
      <c r="B9" s="4">
        <v>23436</v>
      </c>
      <c r="C9" s="4">
        <v>25609</v>
      </c>
      <c r="D9" s="4">
        <f t="shared" si="0"/>
        <v>2173</v>
      </c>
      <c r="E9" s="6"/>
      <c r="N9" s="3" t="s">
        <v>10</v>
      </c>
      <c r="O9" s="4">
        <v>25609</v>
      </c>
      <c r="P9" s="4">
        <v>29263</v>
      </c>
      <c r="Q9" s="4">
        <f t="shared" si="1"/>
        <v>3654</v>
      </c>
    </row>
    <row r="10" spans="1:18" ht="15" customHeight="1" x14ac:dyDescent="0.35">
      <c r="A10" s="3" t="s">
        <v>11</v>
      </c>
      <c r="B10" s="4">
        <v>24686</v>
      </c>
      <c r="C10" s="4">
        <v>26859</v>
      </c>
      <c r="D10" s="4">
        <f t="shared" si="0"/>
        <v>2173</v>
      </c>
      <c r="E10" s="6"/>
      <c r="N10" s="3" t="s">
        <v>11</v>
      </c>
      <c r="O10" s="4">
        <v>26859</v>
      </c>
      <c r="P10" s="4">
        <v>30513</v>
      </c>
      <c r="Q10" s="4">
        <f t="shared" si="1"/>
        <v>3654</v>
      </c>
    </row>
    <row r="11" spans="1:18" ht="15" customHeight="1" x14ac:dyDescent="0.35">
      <c r="A11" s="3" t="s">
        <v>12</v>
      </c>
      <c r="B11" s="4">
        <v>26486</v>
      </c>
      <c r="C11" s="4">
        <v>31359</v>
      </c>
      <c r="D11" s="4">
        <f t="shared" si="0"/>
        <v>4873</v>
      </c>
      <c r="E11" s="6"/>
      <c r="N11" s="3" t="s">
        <v>12</v>
      </c>
      <c r="O11" s="4">
        <v>31359</v>
      </c>
      <c r="P11" s="4">
        <v>36513</v>
      </c>
      <c r="Q11" s="4">
        <f t="shared" si="1"/>
        <v>5154</v>
      </c>
    </row>
    <row r="12" spans="1:18" ht="15" customHeight="1" x14ac:dyDescent="0.35">
      <c r="A12" s="3" t="s">
        <v>13</v>
      </c>
      <c r="B12" s="4">
        <v>24686</v>
      </c>
      <c r="C12" s="4">
        <v>26859</v>
      </c>
      <c r="D12" s="4">
        <f t="shared" si="0"/>
        <v>2173</v>
      </c>
      <c r="E12" s="6"/>
      <c r="N12" s="3" t="s">
        <v>13</v>
      </c>
      <c r="O12" s="4">
        <v>26859</v>
      </c>
      <c r="P12" s="4">
        <v>30513</v>
      </c>
      <c r="Q12" s="4">
        <f t="shared" si="1"/>
        <v>3654</v>
      </c>
    </row>
    <row r="13" spans="1:18" ht="15" customHeight="1" x14ac:dyDescent="0.35">
      <c r="A13" s="3" t="s">
        <v>14</v>
      </c>
      <c r="B13" s="4">
        <v>24676</v>
      </c>
      <c r="C13" s="4">
        <v>26849</v>
      </c>
      <c r="D13" s="4">
        <f t="shared" si="0"/>
        <v>2173</v>
      </c>
      <c r="E13" s="6"/>
      <c r="N13" s="3" t="s">
        <v>14</v>
      </c>
      <c r="O13" s="4">
        <v>26849</v>
      </c>
      <c r="P13" s="4">
        <v>30493</v>
      </c>
      <c r="Q13" s="4">
        <f t="shared" si="1"/>
        <v>3644</v>
      </c>
    </row>
    <row r="14" spans="1:18" ht="15" customHeight="1" x14ac:dyDescent="0.35">
      <c r="A14" s="7" t="s">
        <v>15</v>
      </c>
      <c r="B14" s="7">
        <f>SUM(B2:B13)</f>
        <v>289114</v>
      </c>
      <c r="C14" s="7">
        <f>SUM(C2:C13)</f>
        <v>327392</v>
      </c>
      <c r="D14" s="8">
        <f>SUM(D2:D13)</f>
        <v>38278</v>
      </c>
      <c r="E14" s="6"/>
      <c r="N14" s="7" t="s">
        <v>15</v>
      </c>
      <c r="O14" s="7">
        <f>SUM(O2:O13)</f>
        <v>327392</v>
      </c>
      <c r="P14" s="7">
        <f>SUM(P2:P13)</f>
        <v>379616</v>
      </c>
      <c r="Q14" s="7">
        <f>SUM(Q2:Q13)</f>
        <v>52224</v>
      </c>
    </row>
    <row r="15" spans="1:18" ht="15" customHeight="1" x14ac:dyDescent="0.35">
      <c r="A15" s="9" t="s">
        <v>16</v>
      </c>
      <c r="B15" s="9" t="s">
        <v>17</v>
      </c>
      <c r="C15" s="10" t="s">
        <v>18</v>
      </c>
      <c r="D15" s="23">
        <f>AVERAGE(D2:D13)</f>
        <v>3189.8333333333335</v>
      </c>
      <c r="E15" s="12" t="s">
        <v>19</v>
      </c>
      <c r="N15" s="27" t="s">
        <v>16</v>
      </c>
      <c r="O15" s="11" t="s">
        <v>18</v>
      </c>
      <c r="P15" s="11" t="s">
        <v>20</v>
      </c>
      <c r="Q15" s="11">
        <f>AVERAGE(Q2:Q13)</f>
        <v>4352</v>
      </c>
      <c r="R15" s="12" t="s">
        <v>19</v>
      </c>
    </row>
    <row r="16" spans="1:18" ht="15" customHeight="1" x14ac:dyDescent="0.35">
      <c r="A16" s="13"/>
      <c r="B16" s="13"/>
      <c r="C16" s="14" t="s">
        <v>21</v>
      </c>
      <c r="D16" s="2"/>
      <c r="E16" s="6"/>
      <c r="N16" s="28"/>
      <c r="O16" s="15" t="s">
        <v>21</v>
      </c>
      <c r="P16" s="13" t="s">
        <v>22</v>
      </c>
      <c r="Q16" s="2"/>
    </row>
    <row r="17" spans="1:17" ht="15" customHeight="1" x14ac:dyDescent="0.35">
      <c r="A17" s="9" t="s">
        <v>23</v>
      </c>
      <c r="B17" s="9">
        <v>46000</v>
      </c>
      <c r="C17" s="16">
        <v>22500</v>
      </c>
      <c r="D17" s="2"/>
      <c r="E17" s="6"/>
      <c r="N17" s="27" t="s">
        <v>23</v>
      </c>
      <c r="O17" s="17">
        <v>22500</v>
      </c>
      <c r="P17" s="17">
        <v>17800</v>
      </c>
      <c r="Q17" s="2"/>
    </row>
    <row r="18" spans="1:17" ht="15" customHeight="1" x14ac:dyDescent="0.35">
      <c r="A18" s="13"/>
      <c r="B18" s="13"/>
      <c r="C18" s="14">
        <v>32740</v>
      </c>
      <c r="D18" s="2"/>
      <c r="E18" s="6"/>
      <c r="N18" s="28"/>
      <c r="O18" s="18">
        <v>32740</v>
      </c>
      <c r="P18" s="18">
        <v>44560</v>
      </c>
      <c r="Q18" s="2"/>
    </row>
    <row r="19" spans="1:17" ht="30" customHeight="1" x14ac:dyDescent="0.35">
      <c r="A19" s="6"/>
      <c r="B19" s="19" t="s">
        <v>24</v>
      </c>
      <c r="C19" s="19" t="s">
        <v>25</v>
      </c>
      <c r="D19" s="6"/>
      <c r="E19" s="6"/>
      <c r="N19" s="6"/>
      <c r="O19" s="19" t="s">
        <v>25</v>
      </c>
      <c r="P19" s="19" t="s">
        <v>26</v>
      </c>
      <c r="Q19" s="6"/>
    </row>
    <row r="20" spans="1:17" ht="15" customHeight="1" x14ac:dyDescent="0.35">
      <c r="A20" s="6"/>
      <c r="B20" s="6"/>
      <c r="C20" s="6"/>
      <c r="D20" s="6"/>
      <c r="E20" s="6"/>
      <c r="N20" s="6" t="s">
        <v>27</v>
      </c>
      <c r="O20" s="6"/>
      <c r="P20" s="6"/>
      <c r="Q20" s="6"/>
    </row>
    <row r="21" spans="1:17" ht="15" customHeight="1" x14ac:dyDescent="0.35">
      <c r="A21" s="20"/>
      <c r="B21" s="6" t="s">
        <v>28</v>
      </c>
      <c r="C21" s="6"/>
      <c r="D21" s="6"/>
      <c r="E21" s="6"/>
      <c r="N21" s="6"/>
      <c r="O21" s="6"/>
      <c r="P21" s="6"/>
      <c r="Q21" s="6"/>
    </row>
    <row r="22" spans="1:17" ht="15.75" customHeight="1" x14ac:dyDescent="0.35">
      <c r="A22" s="21"/>
      <c r="B22" s="6" t="s">
        <v>29</v>
      </c>
      <c r="C22" s="6"/>
      <c r="D22" s="6"/>
      <c r="E22" s="6"/>
      <c r="N22" s="6"/>
      <c r="O22" s="6"/>
      <c r="P22" s="6"/>
      <c r="Q22" s="6"/>
    </row>
    <row r="23" spans="1:17" ht="15.75" customHeight="1" x14ac:dyDescent="0.35">
      <c r="A23" s="6"/>
      <c r="B23" s="6"/>
      <c r="C23" s="6"/>
      <c r="D23" s="6"/>
      <c r="E23" s="6"/>
      <c r="N23" s="6"/>
      <c r="O23" s="6"/>
      <c r="P23" s="6"/>
      <c r="Q23" s="6"/>
    </row>
    <row r="24" spans="1:17" ht="15.75" customHeight="1" x14ac:dyDescent="0.35">
      <c r="A24" s="6"/>
      <c r="B24" s="6"/>
      <c r="C24" s="6"/>
      <c r="D24" s="6"/>
      <c r="E24" s="6"/>
      <c r="N24" s="6"/>
      <c r="O24" s="6"/>
      <c r="P24" s="6"/>
      <c r="Q24" s="6"/>
    </row>
    <row r="25" spans="1:17" ht="15.75" customHeight="1" x14ac:dyDescent="0.35">
      <c r="A25" s="6"/>
      <c r="B25" s="6"/>
      <c r="C25" s="6"/>
      <c r="D25" s="6"/>
      <c r="E25" s="6"/>
      <c r="N25" s="6"/>
      <c r="O25" s="6"/>
      <c r="P25" s="6"/>
      <c r="Q25" s="6"/>
    </row>
    <row r="26" spans="1:17" ht="15.75" customHeight="1" x14ac:dyDescent="0.35">
      <c r="A26" s="6"/>
      <c r="B26" s="6"/>
      <c r="C26" s="6"/>
      <c r="D26" s="6"/>
      <c r="E26" s="6"/>
      <c r="N26" s="6"/>
      <c r="O26" s="6"/>
      <c r="P26" s="6"/>
      <c r="Q26" s="6"/>
    </row>
    <row r="27" spans="1:17" ht="15.75" customHeight="1" x14ac:dyDescent="0.35">
      <c r="A27" s="6"/>
      <c r="B27" s="6"/>
      <c r="C27" s="6"/>
      <c r="D27" s="6"/>
      <c r="E27" s="6"/>
      <c r="N27" s="6"/>
      <c r="O27" s="6"/>
      <c r="P27" s="6"/>
      <c r="Q27" s="6"/>
    </row>
    <row r="28" spans="1:17" ht="15.75" customHeight="1" x14ac:dyDescent="0.35">
      <c r="A28" s="6"/>
      <c r="B28" s="6"/>
      <c r="C28" s="6"/>
      <c r="D28" s="6"/>
      <c r="E28" s="6"/>
      <c r="N28" s="6"/>
      <c r="O28" s="6"/>
      <c r="P28" s="6"/>
      <c r="Q28" s="6"/>
    </row>
    <row r="29" spans="1:17" ht="15.75" customHeight="1" x14ac:dyDescent="0.35">
      <c r="A29" s="6"/>
      <c r="B29" s="6"/>
      <c r="C29" s="6"/>
      <c r="D29" s="6"/>
      <c r="E29" s="6"/>
      <c r="N29" s="6"/>
      <c r="O29" s="6"/>
      <c r="P29" s="6"/>
      <c r="Q29" s="6"/>
    </row>
    <row r="30" spans="1:17" ht="15.75" customHeight="1" x14ac:dyDescent="0.35">
      <c r="A30" s="6"/>
      <c r="B30" s="6"/>
      <c r="C30" s="6"/>
      <c r="D30" s="6"/>
      <c r="E30" s="6"/>
      <c r="N30" s="6"/>
      <c r="O30" s="6"/>
      <c r="P30" s="6"/>
      <c r="Q30" s="6"/>
    </row>
    <row r="31" spans="1:17" ht="15.75" customHeight="1" x14ac:dyDescent="0.35">
      <c r="A31" s="6"/>
      <c r="B31" s="6"/>
      <c r="C31" s="6"/>
      <c r="D31" s="6"/>
      <c r="E31" s="6"/>
      <c r="N31" s="6"/>
      <c r="O31" s="6"/>
      <c r="P31" s="6"/>
      <c r="Q31" s="6"/>
    </row>
    <row r="32" spans="1:17" ht="15.75" customHeight="1" x14ac:dyDescent="0.35">
      <c r="A32" s="6"/>
      <c r="B32" s="6"/>
      <c r="C32" s="6"/>
      <c r="D32" s="6"/>
      <c r="E32" s="6"/>
      <c r="N32" s="6"/>
      <c r="O32" s="6"/>
      <c r="P32" s="6"/>
      <c r="Q32" s="6"/>
    </row>
    <row r="33" spans="1:18" ht="15" customHeight="1" x14ac:dyDescent="0.35">
      <c r="A33" s="6"/>
      <c r="B33" s="6"/>
      <c r="C33" s="6"/>
      <c r="D33" s="6"/>
      <c r="E33" s="6"/>
      <c r="F33" s="6" t="s">
        <v>30</v>
      </c>
      <c r="N33" s="6"/>
      <c r="O33" s="6"/>
      <c r="P33" s="6"/>
      <c r="Q33" s="6"/>
    </row>
    <row r="34" spans="1:18" ht="15" customHeight="1" x14ac:dyDescent="0.35">
      <c r="A34" s="6"/>
      <c r="B34" s="6"/>
      <c r="C34" s="6"/>
      <c r="D34" s="6"/>
      <c r="E34" s="6"/>
      <c r="F34" s="6" t="s">
        <v>31</v>
      </c>
      <c r="N34" s="6"/>
      <c r="O34" s="6"/>
      <c r="P34" s="6"/>
      <c r="Q34" s="6"/>
    </row>
    <row r="35" spans="1:18" ht="15.75" customHeight="1" x14ac:dyDescent="0.35">
      <c r="A35" s="6"/>
      <c r="B35" s="6"/>
      <c r="C35" s="6"/>
      <c r="D35" s="6"/>
      <c r="E35" s="6"/>
      <c r="N35" s="6"/>
      <c r="O35" s="6"/>
      <c r="P35" s="6"/>
      <c r="Q35" s="6"/>
    </row>
    <row r="36" spans="1:18" ht="15.75" customHeight="1" x14ac:dyDescent="0.35">
      <c r="A36" s="6"/>
      <c r="B36" s="6"/>
      <c r="C36" s="6"/>
      <c r="D36" s="6"/>
      <c r="E36" s="6"/>
      <c r="N36" s="6"/>
      <c r="O36" s="6"/>
      <c r="P36" s="6"/>
      <c r="Q36" s="6"/>
    </row>
    <row r="37" spans="1:18" ht="15" customHeight="1" x14ac:dyDescent="0.35">
      <c r="A37" s="1" t="s">
        <v>0</v>
      </c>
      <c r="B37" s="1">
        <v>2022</v>
      </c>
      <c r="C37" s="1">
        <v>2023</v>
      </c>
      <c r="D37" s="1" t="s">
        <v>1</v>
      </c>
      <c r="E37" s="2"/>
      <c r="N37" s="1" t="s">
        <v>0</v>
      </c>
      <c r="O37" s="1">
        <v>2023</v>
      </c>
      <c r="P37" s="1">
        <v>2024</v>
      </c>
      <c r="Q37" s="1" t="s">
        <v>2</v>
      </c>
    </row>
    <row r="38" spans="1:18" ht="15" customHeight="1" x14ac:dyDescent="0.35">
      <c r="A38" s="3" t="s">
        <v>3</v>
      </c>
      <c r="B38" s="5">
        <v>32119</v>
      </c>
      <c r="C38" s="5">
        <v>35263</v>
      </c>
      <c r="D38" s="4">
        <f t="shared" ref="D38:D49" si="2">C38-B38</f>
        <v>3144</v>
      </c>
      <c r="E38" s="6" t="s">
        <v>32</v>
      </c>
      <c r="N38" s="3" t="s">
        <v>3</v>
      </c>
      <c r="O38" s="5">
        <v>35263</v>
      </c>
      <c r="P38" s="5">
        <f>35232+46582</f>
        <v>81814</v>
      </c>
      <c r="Q38" s="3">
        <f t="shared" ref="Q38:Q49" si="3">P38-O38</f>
        <v>46551</v>
      </c>
      <c r="R38" s="12" t="s">
        <v>33</v>
      </c>
    </row>
    <row r="39" spans="1:18" ht="15" customHeight="1" x14ac:dyDescent="0.35">
      <c r="A39" s="3" t="s">
        <v>4</v>
      </c>
      <c r="B39" s="5">
        <v>28869</v>
      </c>
      <c r="C39" s="5">
        <v>30513</v>
      </c>
      <c r="D39" s="4">
        <f t="shared" si="2"/>
        <v>1644</v>
      </c>
      <c r="E39" s="6"/>
      <c r="N39" s="3" t="s">
        <v>4</v>
      </c>
      <c r="O39" s="5">
        <v>30513</v>
      </c>
      <c r="P39" s="4">
        <v>53507</v>
      </c>
      <c r="Q39" s="4">
        <f t="shared" si="3"/>
        <v>22994</v>
      </c>
    </row>
    <row r="40" spans="1:18" ht="15" customHeight="1" x14ac:dyDescent="0.35">
      <c r="A40" s="3" t="s">
        <v>5</v>
      </c>
      <c r="B40" s="5">
        <v>28869</v>
      </c>
      <c r="C40" s="5">
        <v>33296</v>
      </c>
      <c r="D40" s="3">
        <f t="shared" si="2"/>
        <v>4427</v>
      </c>
      <c r="E40" s="6"/>
      <c r="N40" s="3" t="s">
        <v>5</v>
      </c>
      <c r="O40" s="5">
        <v>33296</v>
      </c>
      <c r="P40" s="4">
        <v>51826</v>
      </c>
      <c r="Q40" s="4">
        <f t="shared" si="3"/>
        <v>18530</v>
      </c>
    </row>
    <row r="41" spans="1:18" ht="15" customHeight="1" x14ac:dyDescent="0.35">
      <c r="A41" s="3" t="s">
        <v>6</v>
      </c>
      <c r="B41" s="5">
        <v>34319</v>
      </c>
      <c r="C41" s="4">
        <v>38012</v>
      </c>
      <c r="D41" s="4">
        <f t="shared" si="2"/>
        <v>3693</v>
      </c>
      <c r="E41" s="6"/>
      <c r="N41" s="3" t="s">
        <v>34</v>
      </c>
      <c r="O41" s="4">
        <v>38012</v>
      </c>
      <c r="P41" s="4">
        <v>50778</v>
      </c>
      <c r="Q41" s="4">
        <f t="shared" si="3"/>
        <v>12766</v>
      </c>
    </row>
    <row r="42" spans="1:18" ht="15" customHeight="1" x14ac:dyDescent="0.35">
      <c r="A42" s="3" t="s">
        <v>7</v>
      </c>
      <c r="B42" s="4">
        <v>31638</v>
      </c>
      <c r="C42" s="4">
        <v>31374</v>
      </c>
      <c r="D42" s="4">
        <f t="shared" si="2"/>
        <v>-264</v>
      </c>
      <c r="E42" s="6" t="s">
        <v>35</v>
      </c>
      <c r="N42" s="3" t="s">
        <v>7</v>
      </c>
      <c r="O42" s="4">
        <v>31374</v>
      </c>
      <c r="P42" s="4">
        <v>54747</v>
      </c>
      <c r="Q42" s="4">
        <f t="shared" si="3"/>
        <v>23373</v>
      </c>
    </row>
    <row r="43" spans="1:18" ht="15" customHeight="1" x14ac:dyDescent="0.35">
      <c r="A43" s="3" t="s">
        <v>8</v>
      </c>
      <c r="B43" s="4">
        <v>29994</v>
      </c>
      <c r="C43" s="4">
        <v>31374</v>
      </c>
      <c r="D43" s="4">
        <f t="shared" si="2"/>
        <v>1380</v>
      </c>
      <c r="E43" s="6" t="s">
        <v>35</v>
      </c>
      <c r="N43" s="3" t="s">
        <v>8</v>
      </c>
      <c r="O43" s="4">
        <v>31374</v>
      </c>
      <c r="P43" s="4">
        <v>54748</v>
      </c>
      <c r="Q43" s="4">
        <f t="shared" si="3"/>
        <v>23374</v>
      </c>
    </row>
    <row r="44" spans="1:18" ht="15" customHeight="1" x14ac:dyDescent="0.35">
      <c r="A44" s="3" t="s">
        <v>9</v>
      </c>
      <c r="B44" s="4">
        <v>36513</v>
      </c>
      <c r="C44" s="4">
        <v>38562</v>
      </c>
      <c r="D44" s="4">
        <f t="shared" si="2"/>
        <v>2049</v>
      </c>
      <c r="E44" s="6"/>
      <c r="N44" s="3" t="s">
        <v>36</v>
      </c>
      <c r="O44" s="4">
        <v>38562</v>
      </c>
      <c r="P44" s="4">
        <v>54747</v>
      </c>
      <c r="Q44" s="4">
        <f t="shared" si="3"/>
        <v>16185</v>
      </c>
    </row>
    <row r="45" spans="1:18" ht="15" customHeight="1" x14ac:dyDescent="0.35">
      <c r="A45" s="3" t="s">
        <v>10</v>
      </c>
      <c r="B45" s="4">
        <v>29263</v>
      </c>
      <c r="C45" s="4">
        <v>31012</v>
      </c>
      <c r="D45" s="4">
        <f t="shared" si="2"/>
        <v>1749</v>
      </c>
      <c r="E45" s="6" t="s">
        <v>32</v>
      </c>
      <c r="N45" s="3" t="s">
        <v>10</v>
      </c>
      <c r="O45" s="4">
        <v>31012</v>
      </c>
      <c r="P45" s="4">
        <v>54748</v>
      </c>
      <c r="Q45" s="4">
        <f t="shared" si="3"/>
        <v>23736</v>
      </c>
    </row>
    <row r="46" spans="1:18" ht="15" customHeight="1" x14ac:dyDescent="0.35">
      <c r="A46" s="3" t="s">
        <v>11</v>
      </c>
      <c r="B46" s="4">
        <v>30513</v>
      </c>
      <c r="C46" s="4">
        <v>32262</v>
      </c>
      <c r="D46" s="4">
        <f t="shared" si="2"/>
        <v>1749</v>
      </c>
      <c r="E46" s="6"/>
      <c r="N46" s="3" t="s">
        <v>11</v>
      </c>
      <c r="O46" s="4">
        <v>32262</v>
      </c>
      <c r="P46" s="4">
        <v>54748</v>
      </c>
      <c r="Q46" s="4">
        <f t="shared" si="3"/>
        <v>22486</v>
      </c>
    </row>
    <row r="47" spans="1:18" ht="15" customHeight="1" x14ac:dyDescent="0.35">
      <c r="A47" s="3" t="s">
        <v>12</v>
      </c>
      <c r="B47" s="4">
        <v>36513</v>
      </c>
      <c r="C47" s="4">
        <v>38562</v>
      </c>
      <c r="D47" s="4">
        <f t="shared" si="2"/>
        <v>2049</v>
      </c>
      <c r="E47" s="6"/>
      <c r="N47" s="3" t="s">
        <v>37</v>
      </c>
      <c r="O47" s="4">
        <v>38562</v>
      </c>
      <c r="P47" s="4">
        <v>46102</v>
      </c>
      <c r="Q47" s="4">
        <f t="shared" si="3"/>
        <v>7540</v>
      </c>
    </row>
    <row r="48" spans="1:18" ht="15" customHeight="1" x14ac:dyDescent="0.35">
      <c r="A48" s="3" t="s">
        <v>13</v>
      </c>
      <c r="B48" s="4">
        <v>30513</v>
      </c>
      <c r="C48" s="4">
        <v>32262</v>
      </c>
      <c r="D48" s="4">
        <f t="shared" si="2"/>
        <v>1749</v>
      </c>
      <c r="E48" s="6"/>
      <c r="N48" s="3" t="s">
        <v>13</v>
      </c>
      <c r="O48" s="4">
        <v>32262</v>
      </c>
      <c r="P48" s="4">
        <v>46776</v>
      </c>
      <c r="Q48" s="4">
        <f t="shared" si="3"/>
        <v>14514</v>
      </c>
    </row>
    <row r="49" spans="1:17" ht="15" customHeight="1" x14ac:dyDescent="0.35">
      <c r="A49" s="3" t="s">
        <v>14</v>
      </c>
      <c r="B49" s="4">
        <v>30493</v>
      </c>
      <c r="C49" s="4">
        <v>32242</v>
      </c>
      <c r="D49" s="4">
        <f t="shared" si="2"/>
        <v>1749</v>
      </c>
      <c r="E49" s="6"/>
      <c r="N49" s="3" t="s">
        <v>14</v>
      </c>
      <c r="O49" s="4">
        <v>32242</v>
      </c>
      <c r="P49" s="4">
        <v>46775</v>
      </c>
      <c r="Q49" s="4">
        <f t="shared" si="3"/>
        <v>14533</v>
      </c>
    </row>
    <row r="50" spans="1:17" ht="15" customHeight="1" x14ac:dyDescent="0.35">
      <c r="A50" s="7" t="s">
        <v>15</v>
      </c>
      <c r="B50" s="7">
        <f>SUM(B38:B49)</f>
        <v>379616</v>
      </c>
      <c r="C50" s="7">
        <f>SUM(C38:C49)</f>
        <v>404734</v>
      </c>
      <c r="D50" s="7">
        <f>SUM(D38:D49)</f>
        <v>25118</v>
      </c>
      <c r="E50" s="6"/>
      <c r="N50" s="7" t="s">
        <v>15</v>
      </c>
      <c r="O50" s="7">
        <f>SUM(O38:O49)</f>
        <v>404734</v>
      </c>
      <c r="P50" s="7">
        <f>SUM(P38:P49)</f>
        <v>651316</v>
      </c>
      <c r="Q50" s="7">
        <f>SUM(Q38:Q49)</f>
        <v>246582</v>
      </c>
    </row>
    <row r="51" spans="1:17" ht="15.75" customHeight="1" x14ac:dyDescent="0.35">
      <c r="A51" s="27" t="s">
        <v>16</v>
      </c>
      <c r="B51" s="11" t="s">
        <v>20</v>
      </c>
      <c r="C51" s="10" t="s">
        <v>22</v>
      </c>
      <c r="D51" s="23">
        <f>AVERAGE(D38:D49)</f>
        <v>2093.1666666666665</v>
      </c>
      <c r="E51" s="12" t="s">
        <v>19</v>
      </c>
      <c r="N51" s="27" t="s">
        <v>16</v>
      </c>
      <c r="O51" s="10" t="s">
        <v>22</v>
      </c>
      <c r="P51" s="27">
        <v>800000</v>
      </c>
      <c r="Q51" s="23">
        <f>AVERAGE(Q38:Q49)</f>
        <v>20548.5</v>
      </c>
    </row>
    <row r="52" spans="1:17" ht="15.75" customHeight="1" x14ac:dyDescent="0.35">
      <c r="A52" s="28"/>
      <c r="B52" s="13" t="s">
        <v>22</v>
      </c>
      <c r="C52" s="14" t="s">
        <v>38</v>
      </c>
      <c r="D52" s="2"/>
      <c r="E52" s="6"/>
      <c r="N52" s="28"/>
      <c r="O52" s="14" t="s">
        <v>38</v>
      </c>
      <c r="P52" s="28"/>
      <c r="Q52" s="2"/>
    </row>
    <row r="53" spans="1:17" ht="15.75" customHeight="1" x14ac:dyDescent="0.35">
      <c r="A53" s="27" t="s">
        <v>23</v>
      </c>
      <c r="B53" s="11">
        <v>17800</v>
      </c>
      <c r="C53" s="16">
        <v>13428</v>
      </c>
      <c r="D53" s="2"/>
      <c r="E53" s="6"/>
      <c r="N53" s="27" t="s">
        <v>23</v>
      </c>
      <c r="O53" s="16">
        <v>13428</v>
      </c>
      <c r="P53" s="27">
        <v>148684</v>
      </c>
      <c r="Q53" s="2"/>
    </row>
    <row r="54" spans="1:17" ht="15.75" customHeight="1" x14ac:dyDescent="0.35">
      <c r="A54" s="28"/>
      <c r="B54" s="14">
        <v>44560</v>
      </c>
      <c r="C54" s="14">
        <v>54328</v>
      </c>
      <c r="D54" s="2"/>
      <c r="E54" s="6"/>
      <c r="N54" s="28"/>
      <c r="O54" s="14">
        <v>54328</v>
      </c>
      <c r="P54" s="28"/>
      <c r="Q54" s="2"/>
    </row>
    <row r="55" spans="1:17" ht="30" customHeight="1" x14ac:dyDescent="0.35">
      <c r="A55" s="6"/>
      <c r="B55" s="19" t="s">
        <v>26</v>
      </c>
      <c r="C55" s="19" t="s">
        <v>39</v>
      </c>
      <c r="D55" s="6"/>
      <c r="E55" s="6"/>
      <c r="N55" s="6"/>
      <c r="O55" s="22" t="s">
        <v>39</v>
      </c>
      <c r="P55" s="22" t="s">
        <v>40</v>
      </c>
      <c r="Q55" s="6"/>
    </row>
    <row r="56" spans="1:17" ht="15.75" customHeight="1" x14ac:dyDescent="0.35">
      <c r="A56" s="6"/>
      <c r="B56" s="6"/>
      <c r="C56" s="6"/>
      <c r="D56" s="6"/>
      <c r="E56" s="6"/>
      <c r="N56" s="6"/>
      <c r="O56" s="6"/>
      <c r="P56" s="6"/>
      <c r="Q56" s="6"/>
    </row>
    <row r="57" spans="1:17" ht="15" customHeight="1" x14ac:dyDescent="0.35">
      <c r="A57" s="20"/>
      <c r="B57" s="6" t="s">
        <v>28</v>
      </c>
      <c r="C57" s="6"/>
      <c r="D57" s="6"/>
      <c r="E57" s="6"/>
      <c r="N57" s="6"/>
      <c r="O57" s="6"/>
      <c r="P57" s="6"/>
      <c r="Q57" s="6"/>
    </row>
    <row r="58" spans="1:17" ht="15.75" customHeight="1" x14ac:dyDescent="0.35">
      <c r="A58" s="21"/>
      <c r="B58" s="6" t="s">
        <v>29</v>
      </c>
      <c r="C58" s="6"/>
      <c r="D58" s="6"/>
      <c r="E58" s="6"/>
      <c r="N58" s="6"/>
      <c r="O58" s="6"/>
      <c r="P58" s="6"/>
      <c r="Q58" s="6"/>
    </row>
    <row r="59" spans="1:17" ht="15.75" customHeight="1" x14ac:dyDescent="0.35">
      <c r="A59" s="6"/>
      <c r="B59" s="6"/>
      <c r="C59" s="6"/>
      <c r="D59" s="6"/>
      <c r="E59" s="6"/>
      <c r="N59" s="6"/>
      <c r="O59" s="6"/>
      <c r="P59" s="6"/>
      <c r="Q59" s="6"/>
    </row>
    <row r="60" spans="1:17" ht="15.75" customHeight="1" x14ac:dyDescent="0.35">
      <c r="A60" s="6"/>
      <c r="B60" s="6"/>
      <c r="C60" s="6"/>
      <c r="D60" s="6"/>
      <c r="E60" s="6"/>
      <c r="N60" s="6"/>
      <c r="O60" s="6"/>
      <c r="P60" s="6"/>
      <c r="Q60" s="6"/>
    </row>
    <row r="61" spans="1:17" ht="15.75" customHeight="1" x14ac:dyDescent="0.35">
      <c r="A61" s="1" t="s">
        <v>0</v>
      </c>
      <c r="B61" s="1">
        <v>2024</v>
      </c>
      <c r="C61" s="1">
        <v>2025</v>
      </c>
      <c r="D61" s="1" t="s">
        <v>2</v>
      </c>
      <c r="E61" s="6"/>
      <c r="N61" s="6"/>
      <c r="O61" s="6"/>
      <c r="P61" s="6"/>
      <c r="Q61" s="6"/>
    </row>
    <row r="62" spans="1:17" ht="15.75" customHeight="1" x14ac:dyDescent="0.35">
      <c r="A62" s="3" t="s">
        <v>48</v>
      </c>
      <c r="B62" s="5">
        <f>35232+46582</f>
        <v>81814</v>
      </c>
      <c r="C62" s="4">
        <v>54695</v>
      </c>
      <c r="D62" s="3">
        <f t="shared" ref="D62:D73" si="4">C62-B62</f>
        <v>-27119</v>
      </c>
      <c r="E62" s="6"/>
      <c r="N62" s="6"/>
      <c r="O62" s="6"/>
      <c r="P62" s="6"/>
      <c r="Q62" s="6"/>
    </row>
    <row r="63" spans="1:17" ht="15.75" customHeight="1" x14ac:dyDescent="0.35">
      <c r="A63" s="3" t="s">
        <v>4</v>
      </c>
      <c r="B63" s="4">
        <v>53507</v>
      </c>
      <c r="C63" s="4">
        <v>59381</v>
      </c>
      <c r="D63" s="4">
        <f t="shared" si="4"/>
        <v>5874</v>
      </c>
      <c r="E63" s="6" t="s">
        <v>47</v>
      </c>
      <c r="N63" s="6"/>
      <c r="O63" s="6"/>
      <c r="P63" s="6"/>
      <c r="Q63" s="6"/>
    </row>
    <row r="64" spans="1:17" ht="15.75" customHeight="1" x14ac:dyDescent="0.35">
      <c r="A64" s="3" t="s">
        <v>5</v>
      </c>
      <c r="B64" s="4">
        <v>51826</v>
      </c>
      <c r="C64" s="4">
        <v>54088</v>
      </c>
      <c r="D64" s="4">
        <f t="shared" si="4"/>
        <v>2262</v>
      </c>
      <c r="N64" s="6"/>
      <c r="O64" s="6"/>
      <c r="P64" s="6"/>
      <c r="Q64" s="6"/>
    </row>
    <row r="65" spans="1:17" ht="15.75" customHeight="1" x14ac:dyDescent="0.35">
      <c r="A65" s="3" t="s">
        <v>34</v>
      </c>
      <c r="B65" s="4">
        <v>50778</v>
      </c>
      <c r="C65" s="3">
        <v>130531</v>
      </c>
      <c r="D65" s="4">
        <f t="shared" si="4"/>
        <v>79753</v>
      </c>
      <c r="E65" s="6" t="s">
        <v>41</v>
      </c>
      <c r="N65" s="6"/>
      <c r="O65" s="6"/>
      <c r="P65" s="6"/>
      <c r="Q65" s="6"/>
    </row>
    <row r="66" spans="1:17" ht="15.75" customHeight="1" x14ac:dyDescent="0.35">
      <c r="A66" s="3" t="s">
        <v>7</v>
      </c>
      <c r="B66" s="4">
        <v>54747</v>
      </c>
      <c r="C66" s="4">
        <v>80531</v>
      </c>
      <c r="D66" s="4">
        <f t="shared" si="4"/>
        <v>25784</v>
      </c>
      <c r="E66" s="6"/>
      <c r="N66" s="6"/>
      <c r="O66" s="6"/>
      <c r="P66" s="6"/>
      <c r="Q66" s="6"/>
    </row>
    <row r="67" spans="1:17" ht="15.75" customHeight="1" x14ac:dyDescent="0.35">
      <c r="A67" s="3" t="s">
        <v>8</v>
      </c>
      <c r="B67" s="4">
        <v>54748</v>
      </c>
      <c r="C67" s="3">
        <f>80531+32280</f>
        <v>112811</v>
      </c>
      <c r="D67" s="4">
        <f t="shared" si="4"/>
        <v>58063</v>
      </c>
      <c r="E67" s="6" t="s">
        <v>49</v>
      </c>
      <c r="N67" s="6"/>
      <c r="O67" s="6"/>
      <c r="P67" s="6"/>
      <c r="Q67" s="6"/>
    </row>
    <row r="68" spans="1:17" ht="15.75" customHeight="1" x14ac:dyDescent="0.35">
      <c r="A68" s="3" t="s">
        <v>36</v>
      </c>
      <c r="B68" s="4">
        <v>54747</v>
      </c>
      <c r="C68" s="4">
        <v>80531</v>
      </c>
      <c r="D68" s="4">
        <f t="shared" si="4"/>
        <v>25784</v>
      </c>
      <c r="E68" s="6"/>
      <c r="N68" s="6"/>
      <c r="O68" s="6"/>
      <c r="P68" s="6"/>
      <c r="Q68" s="6"/>
    </row>
    <row r="69" spans="1:17" ht="15.75" customHeight="1" x14ac:dyDescent="0.35">
      <c r="A69" s="3" t="s">
        <v>10</v>
      </c>
      <c r="B69" s="4">
        <v>54748</v>
      </c>
      <c r="C69" s="4">
        <v>79281</v>
      </c>
      <c r="D69" s="4">
        <f t="shared" si="4"/>
        <v>24533</v>
      </c>
      <c r="E69" s="6" t="s">
        <v>50</v>
      </c>
      <c r="N69" s="6"/>
      <c r="O69" s="6"/>
      <c r="P69" s="6"/>
      <c r="Q69" s="6"/>
    </row>
    <row r="70" spans="1:17" ht="15.75" customHeight="1" x14ac:dyDescent="0.35">
      <c r="A70" s="3" t="s">
        <v>11</v>
      </c>
      <c r="B70" s="4">
        <v>54748</v>
      </c>
      <c r="C70" s="4">
        <v>80531</v>
      </c>
      <c r="D70" s="4">
        <f t="shared" si="4"/>
        <v>25783</v>
      </c>
      <c r="E70" s="6"/>
      <c r="N70" s="6"/>
      <c r="O70" s="6"/>
      <c r="P70" s="6"/>
      <c r="Q70" s="6"/>
    </row>
    <row r="71" spans="1:17" ht="15.75" customHeight="1" x14ac:dyDescent="0.35">
      <c r="A71" s="3" t="s">
        <v>37</v>
      </c>
      <c r="B71" s="4">
        <v>46102</v>
      </c>
      <c r="C71" s="4">
        <v>80531</v>
      </c>
      <c r="D71" s="4">
        <f t="shared" si="4"/>
        <v>34429</v>
      </c>
      <c r="E71" s="6"/>
      <c r="N71" s="6"/>
      <c r="O71" s="6"/>
      <c r="P71" s="6"/>
      <c r="Q71" s="6"/>
    </row>
    <row r="72" spans="1:17" ht="15.75" customHeight="1" x14ac:dyDescent="0.35">
      <c r="A72" s="3" t="s">
        <v>13</v>
      </c>
      <c r="B72" s="4">
        <v>46776</v>
      </c>
      <c r="C72" s="4">
        <v>80531</v>
      </c>
      <c r="D72" s="4">
        <f t="shared" si="4"/>
        <v>33755</v>
      </c>
      <c r="E72" s="6"/>
      <c r="N72" s="6"/>
      <c r="O72" s="6"/>
      <c r="P72" s="6"/>
      <c r="Q72" s="6"/>
    </row>
    <row r="73" spans="1:17" ht="15.75" customHeight="1" x14ac:dyDescent="0.35">
      <c r="A73" s="3" t="s">
        <v>14</v>
      </c>
      <c r="B73" s="4">
        <v>46775</v>
      </c>
      <c r="C73" s="4"/>
      <c r="D73" s="4">
        <f t="shared" si="4"/>
        <v>-46775</v>
      </c>
      <c r="E73" s="6"/>
      <c r="N73" s="6"/>
      <c r="O73" s="6"/>
      <c r="P73" s="6"/>
      <c r="Q73" s="6"/>
    </row>
    <row r="74" spans="1:17" ht="15.75" customHeight="1" x14ac:dyDescent="0.35">
      <c r="A74" s="7" t="s">
        <v>15</v>
      </c>
      <c r="B74" s="7">
        <f>SUM(B62:B73)</f>
        <v>651316</v>
      </c>
      <c r="C74" s="7">
        <f>SUM(C62:C73)</f>
        <v>893442</v>
      </c>
      <c r="D74" s="7">
        <f>SUM(D62:D73)</f>
        <v>242126</v>
      </c>
      <c r="E74" s="6"/>
      <c r="N74" s="6"/>
      <c r="O74" s="6"/>
      <c r="P74" s="6"/>
      <c r="Q74" s="6"/>
    </row>
    <row r="75" spans="1:17" ht="15.75" customHeight="1" x14ac:dyDescent="0.35">
      <c r="A75" s="27" t="s">
        <v>16</v>
      </c>
      <c r="B75" s="27">
        <v>800000</v>
      </c>
      <c r="C75" s="27">
        <v>1100000</v>
      </c>
      <c r="D75" s="23">
        <f>AVERAGE(D62:D73)</f>
        <v>20177.166666666668</v>
      </c>
      <c r="E75" s="6"/>
      <c r="N75" s="6"/>
      <c r="O75" s="6"/>
      <c r="P75" s="6"/>
      <c r="Q75" s="6"/>
    </row>
    <row r="76" spans="1:17" ht="15.75" customHeight="1" x14ac:dyDescent="0.35">
      <c r="A76" s="28"/>
      <c r="B76" s="28"/>
      <c r="C76" s="28"/>
      <c r="D76" s="25"/>
      <c r="E76" s="6"/>
      <c r="N76" s="6"/>
      <c r="O76" s="6"/>
      <c r="P76" s="6"/>
      <c r="Q76" s="6"/>
    </row>
    <row r="77" spans="1:17" ht="15.75" customHeight="1" x14ac:dyDescent="0.35">
      <c r="A77" s="27" t="s">
        <v>23</v>
      </c>
      <c r="B77" s="27">
        <v>148684</v>
      </c>
      <c r="C77" s="27">
        <f>C75-C74</f>
        <v>206558</v>
      </c>
      <c r="D77" s="2"/>
      <c r="E77" s="6"/>
      <c r="N77" s="6"/>
      <c r="O77" s="6"/>
      <c r="P77" s="6"/>
      <c r="Q77" s="6"/>
    </row>
    <row r="78" spans="1:17" ht="15.75" customHeight="1" x14ac:dyDescent="0.35">
      <c r="A78" s="28"/>
      <c r="B78" s="28"/>
      <c r="C78" s="28"/>
      <c r="D78" s="2"/>
      <c r="E78" s="6"/>
      <c r="N78" s="6"/>
      <c r="O78" s="6"/>
      <c r="P78" s="6"/>
      <c r="Q78" s="6"/>
    </row>
    <row r="79" spans="1:17" ht="36.75" customHeight="1" x14ac:dyDescent="0.35">
      <c r="A79" s="6"/>
      <c r="B79" s="2" t="s">
        <v>40</v>
      </c>
      <c r="C79" s="2" t="s">
        <v>52</v>
      </c>
      <c r="D79" s="6"/>
      <c r="E79" s="6"/>
      <c r="N79" s="6"/>
      <c r="O79" s="6"/>
      <c r="P79" s="6"/>
      <c r="Q79" s="6"/>
    </row>
    <row r="80" spans="1:17" ht="15.75" customHeight="1" x14ac:dyDescent="0.35">
      <c r="A80" s="6" t="s">
        <v>51</v>
      </c>
      <c r="B80" s="6">
        <v>31646</v>
      </c>
      <c r="C80" s="6"/>
      <c r="D80" s="6"/>
      <c r="E80" s="6"/>
      <c r="N80" s="6"/>
      <c r="O80" s="6"/>
      <c r="P80" s="6"/>
      <c r="Q80" s="6"/>
    </row>
    <row r="81" spans="1:17" ht="15.75" customHeight="1" x14ac:dyDescent="0.35">
      <c r="A81" s="6"/>
      <c r="B81" s="6"/>
      <c r="C81" s="6"/>
      <c r="D81" s="6"/>
      <c r="E81" s="6"/>
      <c r="N81" s="6"/>
      <c r="O81" s="6"/>
      <c r="P81" s="6"/>
      <c r="Q81" s="6"/>
    </row>
    <row r="82" spans="1:17" ht="15.75" customHeight="1" x14ac:dyDescent="0.35">
      <c r="C82" s="6"/>
      <c r="D82" s="6"/>
      <c r="E82" s="6"/>
      <c r="N82" s="6"/>
      <c r="O82" s="6"/>
      <c r="P82" s="6"/>
      <c r="Q82" s="6"/>
    </row>
    <row r="83" spans="1:17" ht="15.75" customHeight="1" x14ac:dyDescent="0.35">
      <c r="A83" s="6"/>
      <c r="B83" s="6"/>
      <c r="C83" s="6"/>
      <c r="D83" s="6"/>
      <c r="E83" s="6"/>
      <c r="N83" s="6"/>
      <c r="O83" s="6"/>
      <c r="P83" s="6"/>
      <c r="Q83" s="6"/>
    </row>
    <row r="84" spans="1:17" ht="15.75" customHeight="1" x14ac:dyDescent="0.35">
      <c r="A84" s="6"/>
      <c r="B84" s="6"/>
      <c r="C84" s="6"/>
      <c r="D84" s="6"/>
      <c r="E84" s="6"/>
      <c r="N84" s="6"/>
      <c r="O84" s="6"/>
      <c r="P84" s="6"/>
      <c r="Q84" s="6"/>
    </row>
    <row r="85" spans="1:17" ht="15.75" customHeight="1" x14ac:dyDescent="0.35">
      <c r="A85" s="6"/>
      <c r="B85" s="6"/>
      <c r="C85" s="6"/>
      <c r="D85" s="6"/>
      <c r="E85" s="6"/>
      <c r="N85" s="6"/>
      <c r="O85" s="6"/>
      <c r="P85" s="6"/>
      <c r="Q85" s="6"/>
    </row>
    <row r="86" spans="1:17" ht="15.75" customHeight="1" x14ac:dyDescent="0.35">
      <c r="A86" s="6"/>
      <c r="B86" s="6"/>
      <c r="C86" s="6"/>
      <c r="D86" s="6"/>
      <c r="E86" s="6"/>
      <c r="N86" s="6"/>
      <c r="O86" s="6"/>
      <c r="P86" s="6"/>
      <c r="Q86" s="6"/>
    </row>
    <row r="87" spans="1:17" ht="15.75" customHeight="1" x14ac:dyDescent="0.35">
      <c r="A87" s="6"/>
      <c r="B87" s="6"/>
      <c r="C87" s="6"/>
      <c r="D87" s="6"/>
      <c r="E87" s="6"/>
      <c r="N87" s="6"/>
      <c r="O87" s="6"/>
      <c r="P87" s="6"/>
      <c r="Q87" s="6"/>
    </row>
    <row r="88" spans="1:17" ht="15.75" customHeight="1" x14ac:dyDescent="0.35">
      <c r="A88" s="6"/>
      <c r="B88" s="6"/>
      <c r="C88" s="6"/>
      <c r="D88" s="6"/>
      <c r="E88" s="6"/>
      <c r="N88" s="6"/>
      <c r="O88" s="6"/>
      <c r="P88" s="6"/>
      <c r="Q88" s="6"/>
    </row>
    <row r="89" spans="1:17" ht="15.75" customHeight="1" x14ac:dyDescent="0.35">
      <c r="A89" s="6"/>
      <c r="B89" s="6"/>
      <c r="C89" s="6"/>
      <c r="D89" s="6"/>
      <c r="E89" s="6"/>
      <c r="N89" s="6"/>
      <c r="O89" s="6"/>
      <c r="P89" s="6"/>
      <c r="Q89" s="6"/>
    </row>
    <row r="90" spans="1:17" ht="15.75" customHeight="1" x14ac:dyDescent="0.35">
      <c r="A90" s="6"/>
      <c r="B90" s="6"/>
      <c r="C90" s="6"/>
      <c r="D90" s="6"/>
      <c r="E90" s="6"/>
      <c r="N90" s="6"/>
      <c r="O90" s="6"/>
      <c r="P90" s="6"/>
      <c r="Q90" s="6"/>
    </row>
    <row r="91" spans="1:17" ht="15.75" customHeight="1" x14ac:dyDescent="0.35">
      <c r="A91" s="6"/>
      <c r="B91" s="6"/>
      <c r="C91" s="6"/>
      <c r="D91" s="6"/>
      <c r="E91" s="6"/>
      <c r="N91" s="6"/>
      <c r="O91" s="6"/>
      <c r="P91" s="6"/>
      <c r="Q91" s="6"/>
    </row>
    <row r="92" spans="1:17" ht="15.75" customHeight="1" x14ac:dyDescent="0.35">
      <c r="A92" s="6"/>
      <c r="B92" s="6"/>
      <c r="C92" s="6"/>
      <c r="D92" s="6"/>
      <c r="E92" s="6"/>
      <c r="N92" s="6"/>
      <c r="O92" s="6"/>
      <c r="P92" s="6"/>
      <c r="Q92" s="6"/>
    </row>
    <row r="93" spans="1:17" ht="15.75" customHeight="1" x14ac:dyDescent="0.35">
      <c r="A93" s="6"/>
      <c r="B93" s="6"/>
      <c r="C93" s="6"/>
      <c r="D93" s="6"/>
      <c r="E93" s="6"/>
      <c r="N93" s="6"/>
      <c r="O93" s="6"/>
      <c r="P93" s="6"/>
      <c r="Q93" s="6"/>
    </row>
    <row r="94" spans="1:17" ht="15.75" customHeight="1" x14ac:dyDescent="0.35">
      <c r="A94" s="6"/>
      <c r="B94" s="6"/>
      <c r="C94" s="6"/>
      <c r="D94" s="6"/>
      <c r="E94" s="6"/>
      <c r="N94" s="6"/>
      <c r="O94" s="6"/>
      <c r="P94" s="6"/>
      <c r="Q94" s="6"/>
    </row>
    <row r="95" spans="1:17" ht="15.75" customHeight="1" x14ac:dyDescent="0.35">
      <c r="A95" s="6"/>
      <c r="B95" s="6"/>
      <c r="C95" s="6"/>
      <c r="D95" s="6"/>
      <c r="E95" s="6"/>
      <c r="N95" s="6"/>
      <c r="O95" s="6"/>
      <c r="P95" s="6"/>
      <c r="Q95" s="6"/>
    </row>
    <row r="96" spans="1:17" ht="15.75" customHeight="1" x14ac:dyDescent="0.35">
      <c r="A96" s="6"/>
      <c r="B96" s="6"/>
      <c r="C96" s="6"/>
      <c r="D96" s="6"/>
      <c r="E96" s="6"/>
      <c r="N96" s="6"/>
      <c r="O96" s="6"/>
      <c r="P96" s="6"/>
      <c r="Q96" s="6"/>
    </row>
    <row r="97" spans="1:17" ht="15.75" customHeight="1" x14ac:dyDescent="0.35">
      <c r="A97" s="6"/>
      <c r="B97" s="6"/>
      <c r="C97" s="6"/>
      <c r="D97" s="6"/>
      <c r="E97" s="6"/>
      <c r="N97" s="6"/>
      <c r="O97" s="6"/>
      <c r="P97" s="6"/>
      <c r="Q97" s="6"/>
    </row>
    <row r="98" spans="1:17" ht="15.75" customHeight="1" x14ac:dyDescent="0.35">
      <c r="A98" s="6"/>
      <c r="B98" s="6"/>
      <c r="C98" s="6"/>
      <c r="D98" s="6"/>
      <c r="E98" s="6"/>
      <c r="N98" s="6"/>
      <c r="O98" s="6"/>
      <c r="P98" s="6"/>
      <c r="Q98" s="6"/>
    </row>
    <row r="99" spans="1:17" ht="15.75" customHeight="1" x14ac:dyDescent="0.35">
      <c r="A99" s="6"/>
      <c r="B99" s="6"/>
      <c r="C99" s="6"/>
      <c r="D99" s="6"/>
      <c r="E99" s="6"/>
      <c r="N99" s="6"/>
      <c r="O99" s="6"/>
      <c r="P99" s="6"/>
      <c r="Q99" s="6"/>
    </row>
    <row r="100" spans="1:17" ht="15.75" customHeight="1" x14ac:dyDescent="0.35">
      <c r="A100" s="6"/>
      <c r="B100" s="6"/>
      <c r="C100" s="6"/>
      <c r="D100" s="6"/>
      <c r="E100" s="6"/>
      <c r="N100" s="6"/>
      <c r="O100" s="6"/>
      <c r="P100" s="6"/>
      <c r="Q100" s="6"/>
    </row>
  </sheetData>
  <autoFilter ref="A1:D19" xr:uid="{00000000-0009-0000-0000-000000000000}"/>
  <mergeCells count="14">
    <mergeCell ref="A77:A78"/>
    <mergeCell ref="B77:B78"/>
    <mergeCell ref="C77:C78"/>
    <mergeCell ref="A53:A54"/>
    <mergeCell ref="N53:N54"/>
    <mergeCell ref="P53:P54"/>
    <mergeCell ref="A75:A76"/>
    <mergeCell ref="B75:B76"/>
    <mergeCell ref="C75:C76"/>
    <mergeCell ref="N15:N16"/>
    <mergeCell ref="N17:N18"/>
    <mergeCell ref="A51:A52"/>
    <mergeCell ref="N51:N52"/>
    <mergeCell ref="P51:P52"/>
  </mergeCells>
  <pageMargins left="0.7" right="0.7" top="0.75" bottom="0.75" header="0" footer="0"/>
  <pageSetup paperSize="9" fitToWidth="0" orientation="landscape"/>
  <drawing r:id="rId1"/>
  <extLst>
    <ext uri="smNativeData">
      <pm:sheetPrefs xmlns:pm="smNativeData" day="174049486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tabSelected="1" zoomScaleNormal="100" workbookViewId="0">
      <selection activeCell="E3" sqref="E3"/>
    </sheetView>
  </sheetViews>
  <sheetFormatPr defaultColWidth="14.36328125" defaultRowHeight="15" customHeight="1" x14ac:dyDescent="0.35"/>
  <cols>
    <col min="1" max="1" width="16.81640625" customWidth="1"/>
    <col min="2" max="2" width="12.6328125" customWidth="1"/>
    <col min="3" max="3" width="15.36328125" customWidth="1"/>
    <col min="4" max="4" width="16.54296875" customWidth="1"/>
    <col min="5" max="7" width="12.6328125" customWidth="1"/>
  </cols>
  <sheetData>
    <row r="1" spans="1:7" ht="15" customHeight="1" x14ac:dyDescent="0.35">
      <c r="A1" s="6"/>
      <c r="C1" s="6"/>
      <c r="D1" s="6"/>
      <c r="G1" s="6"/>
    </row>
    <row r="2" spans="1:7" ht="15" customHeight="1" x14ac:dyDescent="0.35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G2" s="6"/>
    </row>
    <row r="3" spans="1:7" ht="15" customHeight="1" x14ac:dyDescent="0.35">
      <c r="A3" s="3">
        <f>Payslip!D2</f>
        <v>7883</v>
      </c>
      <c r="B3" s="4">
        <f>Payslip!Q2</f>
        <v>6327</v>
      </c>
      <c r="C3" s="3">
        <f>Payslip!D38</f>
        <v>3144</v>
      </c>
      <c r="D3" s="3">
        <f>Payslip!Q38</f>
        <v>46551</v>
      </c>
      <c r="E3" s="4">
        <f>Payslip!D62</f>
        <v>-27119</v>
      </c>
      <c r="G3" s="6"/>
    </row>
    <row r="4" spans="1:7" ht="15" customHeight="1" x14ac:dyDescent="0.35">
      <c r="A4" s="4">
        <f>Payslip!D3</f>
        <v>1101</v>
      </c>
      <c r="B4" s="4">
        <f>Payslip!Q3</f>
        <v>3626</v>
      </c>
      <c r="C4" s="4">
        <f>Payslip!D39</f>
        <v>1644</v>
      </c>
      <c r="D4" s="4">
        <f>Payslip!Q39</f>
        <v>22994</v>
      </c>
      <c r="E4" s="4">
        <f>Payslip!D63</f>
        <v>5874</v>
      </c>
      <c r="G4" s="6"/>
    </row>
    <row r="5" spans="1:7" ht="15" customHeight="1" x14ac:dyDescent="0.35">
      <c r="A5" s="4">
        <f>Payslip!D4</f>
        <v>1439</v>
      </c>
      <c r="B5" s="4">
        <f>Payslip!Q4</f>
        <v>3626</v>
      </c>
      <c r="C5" s="4">
        <f>Payslip!D40</f>
        <v>4427</v>
      </c>
      <c r="D5" s="4">
        <f>Payslip!Q40</f>
        <v>18530</v>
      </c>
      <c r="E5" s="4">
        <f>Payslip!D64</f>
        <v>2262</v>
      </c>
      <c r="G5" s="6"/>
    </row>
    <row r="6" spans="1:7" ht="15" customHeight="1" x14ac:dyDescent="0.35">
      <c r="A6" s="4">
        <f>Payslip!D5</f>
        <v>2214</v>
      </c>
      <c r="B6" s="4">
        <f>Payslip!Q5</f>
        <v>6122</v>
      </c>
      <c r="C6" s="4">
        <f>Payslip!D41</f>
        <v>3693</v>
      </c>
      <c r="D6" s="4">
        <f>Payslip!Q41</f>
        <v>12766</v>
      </c>
      <c r="E6" s="3">
        <f>Payslip!D65</f>
        <v>79753</v>
      </c>
      <c r="G6" s="6"/>
    </row>
    <row r="7" spans="1:7" ht="15" customHeight="1" x14ac:dyDescent="0.35">
      <c r="A7" s="4">
        <f>Payslip!D6</f>
        <v>2037</v>
      </c>
      <c r="B7" s="3">
        <f>Payslip!Q6</f>
        <v>6395</v>
      </c>
      <c r="C7" s="4">
        <f>Payslip!D42</f>
        <v>-264</v>
      </c>
      <c r="D7" s="4">
        <f>Payslip!Q42</f>
        <v>23373</v>
      </c>
      <c r="E7" s="4">
        <f>Payslip!D66</f>
        <v>25784</v>
      </c>
      <c r="G7" s="6"/>
    </row>
    <row r="8" spans="1:7" ht="15" customHeight="1" x14ac:dyDescent="0.35">
      <c r="A8" s="3">
        <f>Payslip!D7</f>
        <v>6105</v>
      </c>
      <c r="B8" s="4">
        <f>Payslip!Q7</f>
        <v>683</v>
      </c>
      <c r="C8" s="3">
        <f>Payslip!D43</f>
        <v>1380</v>
      </c>
      <c r="D8" s="4">
        <f>Payslip!Q43</f>
        <v>23374</v>
      </c>
      <c r="E8" s="4">
        <f>Payslip!D67</f>
        <v>58063</v>
      </c>
      <c r="G8" s="6"/>
    </row>
    <row r="9" spans="1:7" ht="15" customHeight="1" x14ac:dyDescent="0.35">
      <c r="A9" s="4">
        <f>Payslip!D8</f>
        <v>3934</v>
      </c>
      <c r="B9" s="4">
        <f>Payslip!Q8</f>
        <v>5685</v>
      </c>
      <c r="C9" s="4">
        <f>Payslip!D44</f>
        <v>2049</v>
      </c>
      <c r="D9" s="4">
        <f>Payslip!Q44</f>
        <v>16185</v>
      </c>
      <c r="E9" s="4">
        <f>Payslip!D68</f>
        <v>25784</v>
      </c>
      <c r="G9" s="6"/>
    </row>
    <row r="10" spans="1:7" ht="15" customHeight="1" x14ac:dyDescent="0.35">
      <c r="A10" s="4">
        <f>Payslip!D9</f>
        <v>2173</v>
      </c>
      <c r="B10" s="4">
        <f>Payslip!Q9</f>
        <v>3654</v>
      </c>
      <c r="C10" s="4">
        <f>Payslip!D45</f>
        <v>1749</v>
      </c>
      <c r="D10" s="3">
        <f>Payslip!Q45</f>
        <v>23736</v>
      </c>
      <c r="E10" s="4">
        <f>Payslip!D69</f>
        <v>24533</v>
      </c>
      <c r="G10" s="6"/>
    </row>
    <row r="11" spans="1:7" ht="15" customHeight="1" x14ac:dyDescent="0.35">
      <c r="A11" s="4">
        <f>Payslip!D10</f>
        <v>2173</v>
      </c>
      <c r="B11" s="4">
        <f>Payslip!Q10</f>
        <v>3654</v>
      </c>
      <c r="C11" s="4">
        <f>Payslip!D46</f>
        <v>1749</v>
      </c>
      <c r="D11" s="4">
        <f>Payslip!Q46</f>
        <v>22486</v>
      </c>
      <c r="E11" s="4">
        <f>Payslip!D70</f>
        <v>25783</v>
      </c>
      <c r="G11" s="6"/>
    </row>
    <row r="12" spans="1:7" ht="15" customHeight="1" x14ac:dyDescent="0.35">
      <c r="A12" s="4">
        <f>Payslip!D11</f>
        <v>4873</v>
      </c>
      <c r="B12" s="4">
        <f>Payslip!Q11</f>
        <v>5154</v>
      </c>
      <c r="C12" s="4">
        <f>Payslip!D47</f>
        <v>2049</v>
      </c>
      <c r="D12" s="4">
        <f>Payslip!Q47</f>
        <v>7540</v>
      </c>
      <c r="E12" s="4">
        <f>Payslip!D71</f>
        <v>34429</v>
      </c>
      <c r="G12" s="6"/>
    </row>
    <row r="13" spans="1:7" ht="15" customHeight="1" x14ac:dyDescent="0.35">
      <c r="A13" s="4">
        <f>Payslip!D12</f>
        <v>2173</v>
      </c>
      <c r="B13" s="4">
        <f>Payslip!Q12</f>
        <v>3654</v>
      </c>
      <c r="C13" s="4">
        <f>Payslip!D48</f>
        <v>1749</v>
      </c>
      <c r="D13" s="4">
        <f>Payslip!Q48</f>
        <v>14514</v>
      </c>
      <c r="E13" s="4">
        <f>Payslip!D72</f>
        <v>33755</v>
      </c>
      <c r="G13" s="6"/>
    </row>
    <row r="14" spans="1:7" ht="15" customHeight="1" x14ac:dyDescent="0.35">
      <c r="A14" s="4">
        <f>Payslip!D13</f>
        <v>2173</v>
      </c>
      <c r="B14" s="4">
        <f>Payslip!Q13</f>
        <v>3644</v>
      </c>
      <c r="C14" s="4">
        <f>Payslip!D49</f>
        <v>1749</v>
      </c>
      <c r="D14" s="4">
        <f>Payslip!Q49</f>
        <v>14533</v>
      </c>
      <c r="E14" s="4">
        <f>Payslip!D73</f>
        <v>-46775</v>
      </c>
      <c r="G14" s="6"/>
    </row>
    <row r="15" spans="1:7" ht="15" customHeight="1" x14ac:dyDescent="0.35">
      <c r="A15" s="8">
        <f>Payslip!D14</f>
        <v>38278</v>
      </c>
      <c r="B15" s="7">
        <f>Payslip!Q14</f>
        <v>52224</v>
      </c>
      <c r="C15" s="8">
        <f>Payslip!D50</f>
        <v>25118</v>
      </c>
      <c r="D15" s="7">
        <f>Payslip!Q50</f>
        <v>246582</v>
      </c>
      <c r="E15" s="7">
        <f>Payslip!D74</f>
        <v>242126</v>
      </c>
      <c r="G15" s="6"/>
    </row>
    <row r="16" spans="1:7" ht="15" customHeight="1" x14ac:dyDescent="0.35">
      <c r="A16" s="24">
        <f>Payslip!D15</f>
        <v>3189.8333333333335</v>
      </c>
      <c r="B16" s="24">
        <f>Payslip!Q15</f>
        <v>4352</v>
      </c>
      <c r="C16" s="24">
        <f>Payslip!D51</f>
        <v>2093.1666666666665</v>
      </c>
      <c r="D16" s="24">
        <f>Payslip!Q51</f>
        <v>20548.5</v>
      </c>
      <c r="E16" s="24">
        <f>Payslip!D75</f>
        <v>20177.166666666668</v>
      </c>
      <c r="G16" s="6"/>
    </row>
    <row r="17" spans="1:7" ht="15" customHeight="1" x14ac:dyDescent="0.35">
      <c r="A17" s="6"/>
      <c r="C17" s="6"/>
      <c r="D17" s="6"/>
      <c r="G17" s="6"/>
    </row>
    <row r="18" spans="1:7" ht="15" customHeight="1" x14ac:dyDescent="0.35">
      <c r="A18" s="6"/>
      <c r="C18" s="6"/>
      <c r="D18" s="6"/>
      <c r="G18" s="6"/>
    </row>
    <row r="19" spans="1:7" ht="15" customHeight="1" x14ac:dyDescent="0.35">
      <c r="A19" s="6"/>
      <c r="C19" s="6"/>
      <c r="D19" s="6"/>
      <c r="G19" s="6"/>
    </row>
    <row r="20" spans="1:7" ht="15" customHeight="1" x14ac:dyDescent="0.35">
      <c r="A20" s="6"/>
      <c r="C20" s="6"/>
      <c r="D20" s="6"/>
      <c r="G20" s="6"/>
    </row>
    <row r="21" spans="1:7" ht="15.75" customHeight="1" x14ac:dyDescent="0.35">
      <c r="A21" s="6"/>
      <c r="C21" s="6"/>
      <c r="D21" s="6"/>
      <c r="G21" s="6"/>
    </row>
    <row r="22" spans="1:7" ht="15.75" customHeight="1" x14ac:dyDescent="0.35">
      <c r="A22" s="6"/>
      <c r="C22" s="6"/>
      <c r="D22" s="6"/>
      <c r="G22" s="6"/>
    </row>
    <row r="23" spans="1:7" ht="15.75" customHeight="1" x14ac:dyDescent="0.35">
      <c r="A23" s="6"/>
      <c r="C23" s="6"/>
      <c r="D23" s="6"/>
      <c r="G23" s="6"/>
    </row>
    <row r="24" spans="1:7" ht="15.75" customHeight="1" x14ac:dyDescent="0.35">
      <c r="A24" s="6"/>
      <c r="C24" s="6"/>
      <c r="D24" s="6"/>
      <c r="G24" s="6"/>
    </row>
    <row r="25" spans="1:7" ht="15.75" customHeight="1" x14ac:dyDescent="0.35">
      <c r="A25" s="6"/>
      <c r="C25" s="6"/>
      <c r="D25" s="6"/>
      <c r="G25" s="6"/>
    </row>
    <row r="26" spans="1:7" ht="15.75" customHeight="1" x14ac:dyDescent="0.35">
      <c r="A26" s="6"/>
      <c r="C26" s="6"/>
      <c r="D26" s="6"/>
      <c r="G26" s="6"/>
    </row>
    <row r="27" spans="1:7" ht="15.75" customHeight="1" x14ac:dyDescent="0.35">
      <c r="A27" s="6"/>
      <c r="C27" s="6"/>
      <c r="D27" s="6"/>
      <c r="G27" s="6"/>
    </row>
    <row r="28" spans="1:7" ht="15.75" customHeight="1" x14ac:dyDescent="0.35">
      <c r="A28" s="6"/>
      <c r="C28" s="6"/>
      <c r="D28" s="6"/>
      <c r="G28" s="6"/>
    </row>
    <row r="29" spans="1:7" ht="15.75" customHeight="1" x14ac:dyDescent="0.35">
      <c r="A29" s="6"/>
      <c r="C29" s="6"/>
      <c r="D29" s="6"/>
      <c r="G29" s="6"/>
    </row>
    <row r="30" spans="1:7" ht="15.75" customHeight="1" x14ac:dyDescent="0.35">
      <c r="A30" s="6"/>
      <c r="C30" s="6"/>
      <c r="D30" s="6"/>
      <c r="G30" s="6"/>
    </row>
    <row r="31" spans="1:7" ht="15.75" customHeight="1" x14ac:dyDescent="0.35">
      <c r="A31" s="6"/>
      <c r="C31" s="6"/>
      <c r="D31" s="6"/>
      <c r="G31" s="6"/>
    </row>
    <row r="32" spans="1:7" ht="15.75" customHeight="1" x14ac:dyDescent="0.35">
      <c r="A32" s="6"/>
      <c r="C32" s="6"/>
      <c r="D32" s="6"/>
      <c r="G32" s="6"/>
    </row>
    <row r="33" spans="1:7" ht="15.75" customHeight="1" x14ac:dyDescent="0.35">
      <c r="A33" s="6"/>
      <c r="C33" s="6"/>
      <c r="D33" s="6"/>
      <c r="G33" s="6"/>
    </row>
    <row r="34" spans="1:7" ht="15.75" customHeight="1" x14ac:dyDescent="0.35">
      <c r="A34" s="6"/>
      <c r="C34" s="6"/>
      <c r="D34" s="6"/>
      <c r="G34" s="6"/>
    </row>
    <row r="35" spans="1:7" ht="15.75" customHeight="1" x14ac:dyDescent="0.35">
      <c r="A35" s="6"/>
      <c r="C35" s="6"/>
      <c r="D35" s="6"/>
      <c r="G35" s="6"/>
    </row>
    <row r="36" spans="1:7" ht="15.75" customHeight="1" x14ac:dyDescent="0.35">
      <c r="A36" s="6"/>
      <c r="C36" s="6"/>
      <c r="D36" s="6"/>
      <c r="G36" s="6"/>
    </row>
    <row r="37" spans="1:7" ht="15.75" customHeight="1" x14ac:dyDescent="0.35">
      <c r="A37" s="6"/>
      <c r="C37" s="6"/>
      <c r="D37" s="6"/>
      <c r="G37" s="6"/>
    </row>
    <row r="38" spans="1:7" ht="15.75" customHeight="1" x14ac:dyDescent="0.35">
      <c r="A38" s="6"/>
      <c r="C38" s="6"/>
      <c r="D38" s="6"/>
      <c r="G38" s="6"/>
    </row>
    <row r="39" spans="1:7" ht="15.75" customHeight="1" x14ac:dyDescent="0.35">
      <c r="A39" s="6"/>
      <c r="C39" s="6"/>
      <c r="D39" s="6"/>
      <c r="G39" s="6"/>
    </row>
    <row r="40" spans="1:7" ht="15.75" customHeight="1" x14ac:dyDescent="0.35">
      <c r="A40" s="6"/>
      <c r="C40" s="6"/>
      <c r="D40" s="6"/>
      <c r="G40" s="6"/>
    </row>
    <row r="41" spans="1:7" ht="15.75" customHeight="1" x14ac:dyDescent="0.35">
      <c r="A41" s="6"/>
      <c r="C41" s="6"/>
      <c r="D41" s="6"/>
      <c r="G41" s="6"/>
    </row>
    <row r="42" spans="1:7" ht="15.75" customHeight="1" x14ac:dyDescent="0.35">
      <c r="A42" s="6"/>
      <c r="C42" s="6"/>
      <c r="D42" s="6"/>
      <c r="G42" s="6"/>
    </row>
    <row r="43" spans="1:7" ht="15.75" customHeight="1" x14ac:dyDescent="0.35">
      <c r="A43" s="6"/>
      <c r="C43" s="6"/>
      <c r="D43" s="6"/>
      <c r="G43" s="6"/>
    </row>
    <row r="44" spans="1:7" ht="15.75" customHeight="1" x14ac:dyDescent="0.35">
      <c r="A44" s="6"/>
      <c r="C44" s="6"/>
      <c r="D44" s="6"/>
      <c r="G44" s="6"/>
    </row>
    <row r="45" spans="1:7" ht="15.75" customHeight="1" x14ac:dyDescent="0.35">
      <c r="A45" s="6"/>
      <c r="C45" s="6"/>
      <c r="D45" s="6"/>
      <c r="G45" s="6"/>
    </row>
    <row r="46" spans="1:7" ht="15.75" customHeight="1" x14ac:dyDescent="0.35">
      <c r="A46" s="6"/>
      <c r="C46" s="6"/>
      <c r="D46" s="6"/>
      <c r="G46" s="6"/>
    </row>
    <row r="47" spans="1:7" ht="15.75" customHeight="1" x14ac:dyDescent="0.35">
      <c r="A47" s="6"/>
      <c r="C47" s="6"/>
      <c r="D47" s="6"/>
      <c r="G47" s="6"/>
    </row>
    <row r="48" spans="1:7" ht="15.75" customHeight="1" x14ac:dyDescent="0.35">
      <c r="A48" s="6"/>
      <c r="C48" s="6"/>
      <c r="D48" s="6"/>
      <c r="G48" s="6"/>
    </row>
    <row r="49" spans="1:7" ht="15.75" customHeight="1" x14ac:dyDescent="0.35">
      <c r="A49" s="6"/>
      <c r="C49" s="6"/>
      <c r="D49" s="6"/>
      <c r="G49" s="6"/>
    </row>
    <row r="50" spans="1:7" ht="15.75" customHeight="1" x14ac:dyDescent="0.35">
      <c r="A50" s="6"/>
      <c r="C50" s="6"/>
      <c r="D50" s="6"/>
      <c r="G50" s="6"/>
    </row>
    <row r="51" spans="1:7" ht="15.75" customHeight="1" x14ac:dyDescent="0.35">
      <c r="A51" s="6"/>
      <c r="C51" s="6"/>
      <c r="D51" s="6"/>
      <c r="G51" s="6"/>
    </row>
    <row r="52" spans="1:7" ht="15.75" customHeight="1" x14ac:dyDescent="0.35">
      <c r="A52" s="6"/>
      <c r="C52" s="6"/>
      <c r="D52" s="6"/>
      <c r="G52" s="6"/>
    </row>
    <row r="53" spans="1:7" ht="15.75" customHeight="1" x14ac:dyDescent="0.35">
      <c r="A53" s="6"/>
      <c r="C53" s="6"/>
      <c r="D53" s="6"/>
      <c r="G53" s="6"/>
    </row>
    <row r="54" spans="1:7" ht="15.75" customHeight="1" x14ac:dyDescent="0.35">
      <c r="A54" s="6"/>
      <c r="C54" s="6"/>
      <c r="D54" s="6"/>
      <c r="G54" s="6"/>
    </row>
    <row r="55" spans="1:7" ht="15.75" customHeight="1" x14ac:dyDescent="0.35">
      <c r="A55" s="6"/>
      <c r="C55" s="6"/>
      <c r="D55" s="6"/>
      <c r="G55" s="6"/>
    </row>
    <row r="56" spans="1:7" ht="15.75" customHeight="1" x14ac:dyDescent="0.35">
      <c r="A56" s="6"/>
      <c r="C56" s="6"/>
      <c r="D56" s="6"/>
      <c r="G56" s="6"/>
    </row>
    <row r="57" spans="1:7" ht="15.75" customHeight="1" x14ac:dyDescent="0.35">
      <c r="A57" s="6"/>
      <c r="C57" s="6"/>
      <c r="D57" s="6"/>
      <c r="G57" s="6"/>
    </row>
    <row r="58" spans="1:7" ht="15.75" customHeight="1" x14ac:dyDescent="0.35">
      <c r="A58" s="6"/>
      <c r="C58" s="6"/>
      <c r="D58" s="6"/>
      <c r="G58" s="6"/>
    </row>
    <row r="59" spans="1:7" ht="15.75" customHeight="1" x14ac:dyDescent="0.35">
      <c r="A59" s="6"/>
      <c r="C59" s="6"/>
      <c r="D59" s="6"/>
      <c r="G59" s="6"/>
    </row>
    <row r="60" spans="1:7" ht="15.75" customHeight="1" x14ac:dyDescent="0.35">
      <c r="A60" s="6"/>
      <c r="C60" s="6"/>
      <c r="D60" s="6"/>
      <c r="G60" s="6"/>
    </row>
    <row r="61" spans="1:7" ht="15.75" customHeight="1" x14ac:dyDescent="0.35">
      <c r="A61" s="6"/>
      <c r="C61" s="6"/>
      <c r="D61" s="6"/>
      <c r="G61" s="6"/>
    </row>
    <row r="62" spans="1:7" ht="15.75" customHeight="1" x14ac:dyDescent="0.35">
      <c r="A62" s="6"/>
      <c r="C62" s="6"/>
      <c r="D62" s="6"/>
      <c r="G62" s="6"/>
    </row>
    <row r="63" spans="1:7" ht="15.75" customHeight="1" x14ac:dyDescent="0.35">
      <c r="A63" s="6"/>
      <c r="C63" s="6"/>
      <c r="D63" s="6"/>
      <c r="G63" s="6"/>
    </row>
    <row r="64" spans="1:7" ht="15.75" customHeight="1" x14ac:dyDescent="0.35">
      <c r="A64" s="6"/>
      <c r="C64" s="6"/>
      <c r="D64" s="6"/>
      <c r="G64" s="6"/>
    </row>
    <row r="65" spans="1:7" ht="15.75" customHeight="1" x14ac:dyDescent="0.35">
      <c r="A65" s="6"/>
      <c r="C65" s="6"/>
      <c r="D65" s="6"/>
      <c r="G65" s="6"/>
    </row>
    <row r="66" spans="1:7" ht="15.75" customHeight="1" x14ac:dyDescent="0.35">
      <c r="A66" s="6"/>
      <c r="C66" s="6"/>
      <c r="D66" s="6"/>
      <c r="G66" s="6"/>
    </row>
    <row r="67" spans="1:7" ht="15.75" customHeight="1" x14ac:dyDescent="0.35">
      <c r="A67" s="6"/>
      <c r="C67" s="6"/>
      <c r="D67" s="6"/>
      <c r="G67" s="6"/>
    </row>
    <row r="68" spans="1:7" ht="15.75" customHeight="1" x14ac:dyDescent="0.35">
      <c r="A68" s="6"/>
      <c r="C68" s="6"/>
      <c r="D68" s="6"/>
      <c r="G68" s="6"/>
    </row>
    <row r="69" spans="1:7" ht="15.75" customHeight="1" x14ac:dyDescent="0.35">
      <c r="A69" s="6"/>
      <c r="C69" s="6"/>
      <c r="D69" s="6"/>
      <c r="G69" s="6"/>
    </row>
    <row r="70" spans="1:7" ht="15.75" customHeight="1" x14ac:dyDescent="0.35">
      <c r="A70" s="6"/>
      <c r="C70" s="6"/>
      <c r="D70" s="6"/>
      <c r="G70" s="6"/>
    </row>
    <row r="71" spans="1:7" ht="15.75" customHeight="1" x14ac:dyDescent="0.35">
      <c r="A71" s="6"/>
      <c r="C71" s="6"/>
      <c r="D71" s="6"/>
      <c r="G71" s="6"/>
    </row>
    <row r="72" spans="1:7" ht="15.75" customHeight="1" x14ac:dyDescent="0.35">
      <c r="A72" s="6"/>
      <c r="C72" s="6"/>
      <c r="D72" s="6"/>
      <c r="G72" s="6"/>
    </row>
    <row r="73" spans="1:7" ht="15.75" customHeight="1" x14ac:dyDescent="0.35">
      <c r="A73" s="6"/>
      <c r="C73" s="6"/>
      <c r="D73" s="6"/>
      <c r="G73" s="6"/>
    </row>
    <row r="74" spans="1:7" ht="15.75" customHeight="1" x14ac:dyDescent="0.35">
      <c r="A74" s="6"/>
      <c r="C74" s="6"/>
      <c r="D74" s="6"/>
      <c r="G74" s="6"/>
    </row>
    <row r="75" spans="1:7" ht="15.75" customHeight="1" x14ac:dyDescent="0.35">
      <c r="A75" s="6"/>
      <c r="C75" s="6"/>
      <c r="D75" s="6"/>
      <c r="G75" s="6"/>
    </row>
    <row r="76" spans="1:7" ht="15.75" customHeight="1" x14ac:dyDescent="0.35">
      <c r="A76" s="6"/>
      <c r="C76" s="6"/>
      <c r="D76" s="6"/>
      <c r="G76" s="6"/>
    </row>
    <row r="77" spans="1:7" ht="15.75" customHeight="1" x14ac:dyDescent="0.35">
      <c r="A77" s="6"/>
      <c r="C77" s="6"/>
      <c r="D77" s="6"/>
      <c r="G77" s="6"/>
    </row>
    <row r="78" spans="1:7" ht="15.75" customHeight="1" x14ac:dyDescent="0.35">
      <c r="A78" s="6"/>
      <c r="C78" s="6"/>
      <c r="D78" s="6"/>
      <c r="G78" s="6"/>
    </row>
    <row r="79" spans="1:7" ht="15.75" customHeight="1" x14ac:dyDescent="0.35">
      <c r="A79" s="6"/>
      <c r="C79" s="6"/>
      <c r="D79" s="6"/>
      <c r="G79" s="6"/>
    </row>
    <row r="80" spans="1:7" ht="15.75" customHeight="1" x14ac:dyDescent="0.35">
      <c r="A80" s="6"/>
      <c r="C80" s="6"/>
      <c r="D80" s="6"/>
      <c r="G80" s="6"/>
    </row>
    <row r="81" spans="1:7" ht="15.75" customHeight="1" x14ac:dyDescent="0.35">
      <c r="A81" s="6"/>
      <c r="C81" s="6"/>
      <c r="D81" s="6"/>
      <c r="G81" s="6"/>
    </row>
    <row r="82" spans="1:7" ht="15.75" customHeight="1" x14ac:dyDescent="0.35">
      <c r="A82" s="6"/>
      <c r="C82" s="6"/>
      <c r="D82" s="6"/>
      <c r="G82" s="6"/>
    </row>
    <row r="83" spans="1:7" ht="15.75" customHeight="1" x14ac:dyDescent="0.35">
      <c r="A83" s="6"/>
      <c r="C83" s="6"/>
      <c r="D83" s="6"/>
      <c r="G83" s="6"/>
    </row>
    <row r="84" spans="1:7" ht="15.75" customHeight="1" x14ac:dyDescent="0.35">
      <c r="A84" s="6"/>
      <c r="C84" s="6"/>
      <c r="D84" s="6"/>
      <c r="G84" s="6"/>
    </row>
    <row r="85" spans="1:7" ht="15.75" customHeight="1" x14ac:dyDescent="0.35">
      <c r="A85" s="6"/>
      <c r="C85" s="6"/>
      <c r="D85" s="6"/>
      <c r="G85" s="6"/>
    </row>
    <row r="86" spans="1:7" ht="15.75" customHeight="1" x14ac:dyDescent="0.35">
      <c r="A86" s="6"/>
      <c r="C86" s="6"/>
      <c r="D86" s="6"/>
      <c r="G86" s="6"/>
    </row>
    <row r="87" spans="1:7" ht="15.75" customHeight="1" x14ac:dyDescent="0.35">
      <c r="A87" s="6"/>
      <c r="C87" s="6"/>
      <c r="D87" s="6"/>
      <c r="G87" s="6"/>
    </row>
    <row r="88" spans="1:7" ht="15.75" customHeight="1" x14ac:dyDescent="0.35">
      <c r="A88" s="6"/>
      <c r="C88" s="6"/>
      <c r="D88" s="6"/>
      <c r="G88" s="6"/>
    </row>
    <row r="89" spans="1:7" ht="15.75" customHeight="1" x14ac:dyDescent="0.35">
      <c r="A89" s="6"/>
      <c r="C89" s="6"/>
      <c r="D89" s="6"/>
      <c r="G89" s="6"/>
    </row>
    <row r="90" spans="1:7" ht="15.75" customHeight="1" x14ac:dyDescent="0.35">
      <c r="A90" s="6"/>
      <c r="C90" s="6"/>
      <c r="D90" s="6"/>
      <c r="G90" s="6"/>
    </row>
    <row r="91" spans="1:7" ht="15.75" customHeight="1" x14ac:dyDescent="0.35">
      <c r="A91" s="6"/>
      <c r="C91" s="6"/>
      <c r="D91" s="6"/>
      <c r="G91" s="6"/>
    </row>
    <row r="92" spans="1:7" ht="15.75" customHeight="1" x14ac:dyDescent="0.35">
      <c r="A92" s="6"/>
      <c r="C92" s="6"/>
      <c r="D92" s="6"/>
      <c r="G92" s="6"/>
    </row>
    <row r="93" spans="1:7" ht="15.75" customHeight="1" x14ac:dyDescent="0.35">
      <c r="A93" s="6"/>
      <c r="C93" s="6"/>
      <c r="D93" s="6"/>
      <c r="G93" s="6"/>
    </row>
    <row r="94" spans="1:7" ht="15.75" customHeight="1" x14ac:dyDescent="0.35">
      <c r="A94" s="6"/>
      <c r="C94" s="6"/>
      <c r="D94" s="6"/>
      <c r="G94" s="6"/>
    </row>
    <row r="95" spans="1:7" ht="15.75" customHeight="1" x14ac:dyDescent="0.35">
      <c r="A95" s="6"/>
      <c r="C95" s="6"/>
      <c r="D95" s="6"/>
      <c r="G95" s="6"/>
    </row>
    <row r="96" spans="1:7" ht="15.75" customHeight="1" x14ac:dyDescent="0.35">
      <c r="A96" s="6"/>
      <c r="C96" s="6"/>
      <c r="D96" s="6"/>
      <c r="G96" s="6"/>
    </row>
    <row r="97" spans="1:7" ht="15.75" customHeight="1" x14ac:dyDescent="0.35">
      <c r="A97" s="6"/>
      <c r="C97" s="6"/>
      <c r="D97" s="6"/>
      <c r="G97" s="6"/>
    </row>
    <row r="98" spans="1:7" ht="15.75" customHeight="1" x14ac:dyDescent="0.35">
      <c r="A98" s="6"/>
      <c r="C98" s="6"/>
      <c r="D98" s="6"/>
      <c r="G98" s="6"/>
    </row>
    <row r="99" spans="1:7" ht="15.75" customHeight="1" x14ac:dyDescent="0.35">
      <c r="A99" s="6"/>
      <c r="C99" s="6"/>
      <c r="D99" s="6"/>
      <c r="G99" s="6"/>
    </row>
    <row r="100" spans="1:7" ht="15.75" customHeight="1" x14ac:dyDescent="0.35">
      <c r="A100" s="6"/>
      <c r="C100" s="6"/>
      <c r="D100" s="6"/>
      <c r="G100" s="6"/>
    </row>
  </sheetData>
  <pageMargins left="0.78749999999999998" right="0.78749999999999998" top="0.78749999999999998" bottom="0.78749999999999998" header="0" footer="0"/>
  <pageSetup paperSize="9" fitToWidth="0" pageOrder="overThenDown" orientation="landscape"/>
  <drawing r:id="rId1"/>
  <extLst>
    <ext uri="smNativeData">
      <pm:sheetPrefs xmlns:pm="smNativeData" day="174049486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C20B-DA4A-4637-A473-F5364890F990}">
  <dimension ref="A1:G11"/>
  <sheetViews>
    <sheetView workbookViewId="0">
      <selection activeCell="A11" sqref="A11"/>
    </sheetView>
  </sheetViews>
  <sheetFormatPr defaultRowHeight="14.5" x14ac:dyDescent="0.35"/>
  <cols>
    <col min="1" max="1" width="23.36328125" customWidth="1"/>
    <col min="2" max="2" width="7.6328125" bestFit="1" customWidth="1"/>
    <col min="3" max="3" width="23.08984375" bestFit="1" customWidth="1"/>
    <col min="4" max="4" width="18.54296875" bestFit="1" customWidth="1"/>
    <col min="5" max="5" width="17.1796875" bestFit="1" customWidth="1"/>
    <col min="6" max="6" width="21.36328125" bestFit="1" customWidth="1"/>
    <col min="7" max="7" width="42.1796875" bestFit="1" customWidth="1"/>
  </cols>
  <sheetData>
    <row r="1" spans="1:7" x14ac:dyDescent="0.35">
      <c r="A1" s="31" t="s">
        <v>59</v>
      </c>
      <c r="B1" s="32" t="s">
        <v>58</v>
      </c>
      <c r="C1" s="32" t="s">
        <v>55</v>
      </c>
      <c r="D1" s="32" t="s">
        <v>60</v>
      </c>
      <c r="E1" s="32" t="s">
        <v>67</v>
      </c>
      <c r="F1" s="32" t="s">
        <v>68</v>
      </c>
      <c r="G1" s="33" t="s">
        <v>71</v>
      </c>
    </row>
    <row r="2" spans="1:7" x14ac:dyDescent="0.35">
      <c r="A2" s="34" t="s">
        <v>54</v>
      </c>
      <c r="B2" s="29">
        <v>20000</v>
      </c>
      <c r="C2" s="29" t="s">
        <v>56</v>
      </c>
      <c r="D2" s="29">
        <v>2.5</v>
      </c>
      <c r="E2" s="30">
        <v>43831</v>
      </c>
      <c r="F2" s="29" t="s">
        <v>66</v>
      </c>
      <c r="G2" s="35" t="s">
        <v>66</v>
      </c>
    </row>
    <row r="3" spans="1:7" x14ac:dyDescent="0.35">
      <c r="A3" s="34" t="s">
        <v>53</v>
      </c>
      <c r="B3" s="29">
        <v>5000</v>
      </c>
      <c r="C3" s="29" t="s">
        <v>57</v>
      </c>
      <c r="D3" s="29">
        <v>7.1</v>
      </c>
      <c r="E3" s="30">
        <v>45143</v>
      </c>
      <c r="F3" s="30">
        <v>50861</v>
      </c>
      <c r="G3" s="35" t="s">
        <v>66</v>
      </c>
    </row>
    <row r="4" spans="1:7" x14ac:dyDescent="0.35">
      <c r="A4" s="34" t="s">
        <v>70</v>
      </c>
      <c r="B4" s="29">
        <v>4500</v>
      </c>
      <c r="C4" s="29" t="s">
        <v>72</v>
      </c>
      <c r="D4" s="29" t="s">
        <v>73</v>
      </c>
      <c r="E4" s="30">
        <v>45345</v>
      </c>
      <c r="F4" s="30">
        <v>51920</v>
      </c>
      <c r="G4" s="35" t="s">
        <v>74</v>
      </c>
    </row>
    <row r="5" spans="1:7" x14ac:dyDescent="0.35">
      <c r="A5" s="34" t="s">
        <v>65</v>
      </c>
      <c r="B5" s="29">
        <v>284</v>
      </c>
      <c r="C5" s="29" t="s">
        <v>64</v>
      </c>
      <c r="D5" s="29" t="s">
        <v>66</v>
      </c>
      <c r="E5" s="29" t="s">
        <v>66</v>
      </c>
      <c r="F5" s="29" t="s">
        <v>66</v>
      </c>
      <c r="G5" s="35" t="s">
        <v>66</v>
      </c>
    </row>
    <row r="6" spans="1:7" x14ac:dyDescent="0.35">
      <c r="A6" s="34" t="s">
        <v>61</v>
      </c>
      <c r="B6" s="29">
        <v>7000</v>
      </c>
      <c r="C6" s="29" t="s">
        <v>63</v>
      </c>
      <c r="D6" s="29">
        <v>6.7</v>
      </c>
      <c r="E6" s="30">
        <v>45988</v>
      </c>
      <c r="F6" s="30">
        <v>47814</v>
      </c>
      <c r="G6" s="35" t="s">
        <v>77</v>
      </c>
    </row>
    <row r="7" spans="1:7" x14ac:dyDescent="0.35">
      <c r="A7" s="34" t="s">
        <v>62</v>
      </c>
      <c r="B7" s="29">
        <v>5000</v>
      </c>
      <c r="C7" s="29" t="s">
        <v>75</v>
      </c>
      <c r="D7" s="29">
        <v>6.45</v>
      </c>
      <c r="E7" s="30">
        <v>45988</v>
      </c>
      <c r="F7" s="30">
        <v>46718</v>
      </c>
      <c r="G7" s="35" t="s">
        <v>76</v>
      </c>
    </row>
    <row r="8" spans="1:7" x14ac:dyDescent="0.35">
      <c r="A8" s="34" t="s">
        <v>69</v>
      </c>
      <c r="B8" s="29" t="s">
        <v>66</v>
      </c>
      <c r="C8" s="29" t="s">
        <v>66</v>
      </c>
      <c r="D8" s="29" t="s">
        <v>66</v>
      </c>
      <c r="E8" s="29" t="s">
        <v>66</v>
      </c>
      <c r="F8" s="29" t="s">
        <v>66</v>
      </c>
      <c r="G8" s="35" t="s">
        <v>66</v>
      </c>
    </row>
    <row r="9" spans="1:7" ht="15" thickBot="1" x14ac:dyDescent="0.4">
      <c r="A9" s="36" t="s">
        <v>78</v>
      </c>
      <c r="B9" s="37" t="s">
        <v>66</v>
      </c>
      <c r="C9" s="37" t="s">
        <v>66</v>
      </c>
      <c r="D9" s="37" t="s">
        <v>66</v>
      </c>
      <c r="E9" s="37" t="s">
        <v>66</v>
      </c>
      <c r="F9" s="37" t="s">
        <v>66</v>
      </c>
      <c r="G9" s="38" t="s">
        <v>66</v>
      </c>
    </row>
    <row r="11" spans="1:7" x14ac:dyDescent="0.35">
      <c r="A11" t="s">
        <v>79</v>
      </c>
      <c r="B11" t="s">
        <v>80</v>
      </c>
      <c r="C11" t="s">
        <v>81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E714-3693-4481-B69F-BF3A04A96702}">
  <dimension ref="A1:A2"/>
  <sheetViews>
    <sheetView zoomScale="90" zoomScaleNormal="90" workbookViewId="0">
      <selection activeCell="H2" sqref="H2"/>
    </sheetView>
  </sheetViews>
  <sheetFormatPr defaultRowHeight="14.5" x14ac:dyDescent="0.35"/>
  <cols>
    <col min="1" max="1" width="99.6328125" customWidth="1"/>
  </cols>
  <sheetData>
    <row r="1" spans="1:1" ht="348" x14ac:dyDescent="0.35">
      <c r="A1" s="26" t="s">
        <v>82</v>
      </c>
    </row>
    <row r="2" spans="1:1" ht="130.5" x14ac:dyDescent="0.35">
      <c r="A2" s="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Payslip</vt:lpstr>
      <vt:lpstr>Hike</vt:lpstr>
      <vt:lpstr>Investments</vt:lpstr>
      <vt:lpstr>PLI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 T</dc:creator>
  <cp:keywords/>
  <dc:description/>
  <cp:lastModifiedBy>Vaidyanathan, Navinprabu (Cognizant)</cp:lastModifiedBy>
  <cp:revision>0</cp:revision>
  <dcterms:created xsi:type="dcterms:W3CDTF">2021-03-30T07:32:00Z</dcterms:created>
  <dcterms:modified xsi:type="dcterms:W3CDTF">2025-11-28T04:52:46Z</dcterms:modified>
</cp:coreProperties>
</file>